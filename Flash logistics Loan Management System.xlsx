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115" firstSheet="5" activeTab="2"/>
  </bookViews>
  <sheets>
    <sheet name="Client list" sheetId="21" r:id="rId1"/>
    <sheet name="Loan Out" sheetId="23" r:id="rId2"/>
    <sheet name="Payments" sheetId="24" r:id="rId3"/>
    <sheet name="Records" sheetId="25" r:id="rId4"/>
    <sheet name="Pivot1-Sums" sheetId="26" r:id="rId5"/>
    <sheet name="Pivot2-Status count" sheetId="27" r:id="rId6"/>
  </sheets>
  <definedNames>
    <definedName name="_xlnm._FilterDatabase" localSheetId="3" hidden="1">Records!$A$1:$P$250</definedName>
    <definedName name="loanlist">'Loan Out'!$A$2:$A$250</definedName>
    <definedName name="paymentlist">Payments!$A$2:$A$250</definedName>
    <definedName name="Clientlist">'Client list'!$A$2:$A$250</definedName>
    <definedName name="ClientId">'Client list'!$A$2:$A$250</definedName>
    <definedName name="Clientlist1">'Client list'!$B$2:$B$250</definedName>
    <definedName name="Helpercollist">'Loan Out'!$K$2:$K$250</definedName>
    <definedName name="Flaglist">'Loan Out'!$L$2:$L$250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<sst xmlns="http://schemas.openxmlformats.org/spreadsheetml/2006/main" count="116" uniqueCount="73">
  <si>
    <t>Client ID</t>
  </si>
  <si>
    <t>Client Name</t>
  </si>
  <si>
    <t>Primary contact</t>
  </si>
  <si>
    <t>Sec contact</t>
  </si>
  <si>
    <t>Elvis Mbaya</t>
  </si>
  <si>
    <t>0712345678</t>
  </si>
  <si>
    <t>Linda Musita</t>
  </si>
  <si>
    <t>0723456789</t>
  </si>
  <si>
    <t>Pauline Kayaja</t>
  </si>
  <si>
    <t>0734567891</t>
  </si>
  <si>
    <t>Tonny Ngaira</t>
  </si>
  <si>
    <t>0745678912</t>
  </si>
  <si>
    <t>James Nganga</t>
  </si>
  <si>
    <t>0756789123</t>
  </si>
  <si>
    <t>0756318769</t>
  </si>
  <si>
    <t>Edmond Odongo</t>
  </si>
  <si>
    <t>0767891234</t>
  </si>
  <si>
    <t>Aluchio Caren</t>
  </si>
  <si>
    <t>0778912345</t>
  </si>
  <si>
    <t>Felicity</t>
  </si>
  <si>
    <t>0789123456</t>
  </si>
  <si>
    <t>Dennis Nyawira</t>
  </si>
  <si>
    <t>0791234567</t>
  </si>
  <si>
    <t>Loan ID</t>
  </si>
  <si>
    <t>Principal Amount</t>
  </si>
  <si>
    <t>Transaction cost</t>
  </si>
  <si>
    <t>Principal + Other costs</t>
  </si>
  <si>
    <t>Rate</t>
  </si>
  <si>
    <t>Interest</t>
  </si>
  <si>
    <t>Expected Amnt</t>
  </si>
  <si>
    <t>Date</t>
  </si>
  <si>
    <t>HelperCol</t>
  </si>
  <si>
    <t>Flagged</t>
  </si>
  <si>
    <t>Bad Debt</t>
  </si>
  <si>
    <t>Payment ID</t>
  </si>
  <si>
    <t>Lookcol1</t>
  </si>
  <si>
    <t>Date of remittance</t>
  </si>
  <si>
    <t>Amount Paid</t>
  </si>
  <si>
    <t>LN4 | Pauline Kayaja | 4000 | 600 | 4600 | 45757</t>
  </si>
  <si>
    <t>LN6 | James Nganga | 4000 | 600 | 4600 | 45964</t>
  </si>
  <si>
    <t>LN7 | Edmond Odongo | 5000 | 750 | 5750 | 45967</t>
  </si>
  <si>
    <t>LN9 | Aluchio Caren | 1500 | 0 | 1500 | 45975</t>
  </si>
  <si>
    <t>LN10 | James Nganga | 1000 | 150 | 1150 | 45981</t>
  </si>
  <si>
    <t>LN11 | Elvis Mbaya | 15000 | 1500 | 16500 | 45983</t>
  </si>
  <si>
    <t>LN12 | Edmond Odongo | 5000 | 750 | 5750 | 45992</t>
  </si>
  <si>
    <t>LN13 | James Nganga | 3000 | 450 | 3450 | 45993</t>
  </si>
  <si>
    <t>LN14 | Edmond Odongo | 2000 | 300 | 2300 | 45994</t>
  </si>
  <si>
    <t>LN17 | Felicity | 1000 | 0 | 1000 | 45717</t>
  </si>
  <si>
    <t>Transaction ID</t>
  </si>
  <si>
    <t>Lookcol</t>
  </si>
  <si>
    <t>LOAN ID</t>
  </si>
  <si>
    <t>Loan Date</t>
  </si>
  <si>
    <t>Remittance Amount</t>
  </si>
  <si>
    <t>Unpaid Amount</t>
  </si>
  <si>
    <t>Profit</t>
  </si>
  <si>
    <t>Loss</t>
  </si>
  <si>
    <t>Loan Status</t>
  </si>
  <si>
    <t>LN1 | Linda Musita | 18000 | 2700 | 20700 | 45964</t>
  </si>
  <si>
    <t>LN2 | Linda Musita | 1100 | 0 | 1100 | 45952</t>
  </si>
  <si>
    <t>LN3 | Linda Musita | 500 | 0 | 500 | 45956</t>
  </si>
  <si>
    <t>LN5 | Tonny Ngaira | 1000 | 0 | 1000 | 45698</t>
  </si>
  <si>
    <t>LN8 | Linda Musita | 2000 | 300 | 2300 | 45972</t>
  </si>
  <si>
    <t>LN15 | Edmond Odongo | 7000 | 1050 | 8050 | 46015</t>
  </si>
  <si>
    <t>LN16 | James Nganga | 2000 | 300 | 2300 | 46020</t>
  </si>
  <si>
    <t>LN18 | Dennis Nyawira | 500 | 0 | 500 | 46031</t>
  </si>
  <si>
    <t>LN19 | Edmond Odongo | 1000 | 150 | 1150 | 46039</t>
  </si>
  <si>
    <t>Sum of Unpaid Amount</t>
  </si>
  <si>
    <t>Sum of Remittance Amount</t>
  </si>
  <si>
    <t>Count of Loan Status</t>
  </si>
  <si>
    <t>Bad debt</t>
  </si>
  <si>
    <t>Pending</t>
  </si>
  <si>
    <t>Settled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</si>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</sst>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ndara"/>
      <charset val="134"/>
      <scheme val="minor"/>
    </font>
    <font>
      <sz val="11"/>
      <color rgb="FF000000"/>
      <name val="Candara"/>
      <charset val="134"/>
    </font>
    <font>
      <u/>
      <sz val="11"/>
      <color rgb="FF0000FF"/>
      <name val="Candara"/>
      <charset val="0"/>
      <scheme val="minor"/>
    </font>
    <font>
      <u/>
      <sz val="11"/>
      <color rgb="FF800080"/>
      <name val="Candara"/>
      <charset val="0"/>
      <scheme val="minor"/>
    </font>
    <font>
      <sz val="11"/>
      <color rgb="FFFF0000"/>
      <name val="Candara"/>
      <charset val="0"/>
      <scheme val="minor"/>
    </font>
    <font>
      <b/>
      <sz val="18"/>
      <color theme="3"/>
      <name val="Candara"/>
      <charset val="134"/>
      <scheme val="minor"/>
    </font>
    <font>
      <i/>
      <sz val="11"/>
      <color rgb="FF7F7F7F"/>
      <name val="Candara"/>
      <charset val="0"/>
      <scheme val="minor"/>
    </font>
    <font>
      <b/>
      <sz val="15"/>
      <color theme="3"/>
      <name val="Candara"/>
      <charset val="134"/>
      <scheme val="minor"/>
    </font>
    <font>
      <b/>
      <sz val="13"/>
      <color theme="3"/>
      <name val="Candara"/>
      <charset val="134"/>
      <scheme val="minor"/>
    </font>
    <font>
      <b/>
      <sz val="11"/>
      <color theme="3"/>
      <name val="Candara"/>
      <charset val="134"/>
      <scheme val="minor"/>
    </font>
    <font>
      <sz val="11"/>
      <color rgb="FF3F3F76"/>
      <name val="Candara"/>
      <charset val="0"/>
      <scheme val="minor"/>
    </font>
    <font>
      <b/>
      <sz val="11"/>
      <color rgb="FF3F3F3F"/>
      <name val="Candara"/>
      <charset val="0"/>
      <scheme val="minor"/>
    </font>
    <font>
      <b/>
      <sz val="11"/>
      <color rgb="FFFA7D00"/>
      <name val="Candara"/>
      <charset val="0"/>
      <scheme val="minor"/>
    </font>
    <font>
      <b/>
      <sz val="11"/>
      <color rgb="FFFFFFFF"/>
      <name val="Candara"/>
      <charset val="0"/>
      <scheme val="minor"/>
    </font>
    <font>
      <sz val="11"/>
      <color rgb="FFFA7D00"/>
      <name val="Candara"/>
      <charset val="0"/>
      <scheme val="minor"/>
    </font>
    <font>
      <b/>
      <sz val="11"/>
      <color theme="1"/>
      <name val="Candara"/>
      <charset val="0"/>
      <scheme val="minor"/>
    </font>
    <font>
      <sz val="11"/>
      <color rgb="FF006100"/>
      <name val="Candara"/>
      <charset val="0"/>
      <scheme val="minor"/>
    </font>
    <font>
      <sz val="11"/>
      <color rgb="FF9C0006"/>
      <name val="Candara"/>
      <charset val="0"/>
      <scheme val="minor"/>
    </font>
    <font>
      <sz val="11"/>
      <color rgb="FF9C6500"/>
      <name val="Candara"/>
      <charset val="0"/>
      <scheme val="minor"/>
    </font>
    <font>
      <sz val="11"/>
      <color theme="0"/>
      <name val="Candara"/>
      <charset val="0"/>
      <scheme val="minor"/>
    </font>
    <font>
      <sz val="11"/>
      <color theme="1"/>
      <name val="Candar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gradientFill degree="90">
          <stop position="0">
            <color theme="0"/>
          </stop>
          <stop position="0.5">
            <color rgb="FFF4B4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9595"/>
          </stop>
          <stop position="1">
            <color theme="0"/>
          </stop>
        </gradient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D9534F"/>
      <color rgb="0034A853"/>
      <color rgb="00F96F76"/>
      <color rgb="00F9CECE"/>
      <color rgb="00D82626"/>
      <color rgb="00D95757"/>
      <color rgb="00BD1919"/>
      <color rgb="00FFA7A7"/>
      <color rgb="00FF6F6F"/>
      <color rgb="00FF959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2.4645717593" refreshedBy="minis" recordCount="249">
  <cacheSource type="worksheet">
    <worksheetSource ref="A1:P250" sheet="Records"/>
  </cacheSource>
  <cacheFields count="16">
    <cacheField name="Transaction ID" numFmtId="0">
      <sharedItems count="20">
        <s v="Entry1"/>
        <s v="Entry2"/>
        <s v="Entry3"/>
        <s v="Entry4"/>
        <s v="Entry5"/>
        <s v="Entry6"/>
        <s v="Entry7"/>
        <s v="Entry8"/>
        <s v="Entry9"/>
        <s v="Entry10"/>
        <s v="Entry11"/>
        <s v="Entry12"/>
        <s v="Entry13"/>
        <s v="Entry14"/>
        <s v="Entry15"/>
        <s v="Entry16"/>
        <s v="Entry17"/>
        <s v="Entry18"/>
        <s v="Entry19"/>
        <s v=""/>
      </sharedItems>
    </cacheField>
    <cacheField name="Lookcol" numFmtId="0">
      <sharedItems containsBlank="1" count="20">
        <s v="LN1 | Linda Musita | 18000 | 2700 | 20700 | 45964"/>
        <s v="LN2 | Linda Musita | 1100 | 0 | 1100 | 45952"/>
        <s v="LN3 | Linda Musita | 500 | 0 | 500 | 45956"/>
        <s v="LN4 | Pauline Kayaja | 4000 | 600 | 4600 | 45757"/>
        <s v="LN5 | Tonny Ngaira | 1000 | 0 | 1000 | 45698"/>
        <s v="LN6 | James Nganga | 4000 | 600 | 4600 | 45964"/>
        <s v="LN7 | Edmond Odongo | 5000 | 750 | 5750 | 45967"/>
        <s v="LN8 | Linda Musita | 2000 | 300 | 2300 | 45972"/>
        <s v="LN9 | Aluchio Caren | 1500 | 0 | 1500 | 45975"/>
        <s v="LN10 | James Nganga | 1000 | 150 | 1150 | 45981"/>
        <s v="LN11 | Elvis Mbaya | 15000 | 1500 | 16500 | 45983"/>
        <s v="LN12 | Edmond Odongo | 5000 | 750 | 5750 | 45992"/>
        <s v="LN13 | James Nganga | 3000 | 450 | 3450 | 45993"/>
        <s v="LN14 | Edmond Odongo | 2000 | 300 | 2300 | 45994"/>
        <s v="LN15 | Edmond Odongo | 7000 | 1050 | 8050 | 46015"/>
        <s v="LN16 | James Nganga | 2000 | 300 | 2300 | 46020"/>
        <s v="LN17 | Felicity | 1000 | 0 | 1000 | 45717"/>
        <s v="LN18 | Dennis Nyawira | 500 | 0 | 500 | 46031"/>
        <s v="LN19 | Edmond Odongo | 1000 | 150 | 1150 | 46039"/>
        <m/>
      </sharedItems>
    </cacheField>
    <cacheField name="LOAN ID" numFmtId="0">
      <sharedItems count="20">
        <s v="LN1"/>
        <s v="LN2"/>
        <s v="LN3"/>
        <s v="LN4"/>
        <s v="LN5"/>
        <s v="LN6"/>
        <s v="LN7"/>
        <s v="LN8"/>
        <s v="LN9"/>
        <s v="LN10"/>
        <s v="LN11"/>
        <s v="LN12"/>
        <s v="LN13"/>
        <s v="LN14"/>
        <s v="LN15"/>
        <s v="LN16"/>
        <s v="LN17"/>
        <s v="LN18"/>
        <s v="LN19"/>
        <s v=""/>
      </sharedItems>
    </cacheField>
    <cacheField name="Date" numFmtId="0">
      <sharedItems containsNumber="1" containsInteger="1" containsMixedTypes="1" count="19">
        <n v="45964"/>
        <n v="45952"/>
        <n v="45956"/>
        <n v="45757"/>
        <n v="45698"/>
        <n v="45967"/>
        <n v="45972"/>
        <n v="45975"/>
        <n v="45981"/>
        <n v="45983"/>
        <n v="45992"/>
        <n v="45993"/>
        <n v="45994"/>
        <n v="46015"/>
        <n v="46020"/>
        <n v="45717"/>
        <n v="46031"/>
        <n v="46039"/>
        <s v=""/>
      </sharedItems>
    </cacheField>
    <cacheField name="Principal Amount" numFmtId="0">
      <sharedItems containsNumber="1" containsInteger="1" containsMixedTypes="1" count="12">
        <n v="18000"/>
        <n v="1100"/>
        <n v="500"/>
        <n v="4000"/>
        <n v="1000"/>
        <n v="5000"/>
        <n v="2000"/>
        <n v="1500"/>
        <n v="15000"/>
        <n v="3000"/>
        <n v="7000"/>
        <s v=""/>
      </sharedItems>
    </cacheField>
    <cacheField name="Transaction cost" numFmtId="0">
      <sharedItems containsNumber="1" containsInteger="1" containsMixedTypes="1" count="13">
        <n v="105"/>
        <n v="13"/>
        <n v="7"/>
        <n v="33"/>
        <n v="54"/>
        <n v="57"/>
        <n v="29"/>
        <n v="18"/>
        <n v="60"/>
        <n v="41"/>
        <n v="28"/>
        <n v="0"/>
        <s v=""/>
      </sharedItems>
    </cacheField>
    <cacheField name="Principal + Other costs" numFmtId="0">
      <sharedItems containsNumber="1" containsInteger="1" containsMixedTypes="1" count="16">
        <n v="18105"/>
        <n v="1113"/>
        <n v="507"/>
        <n v="4033"/>
        <n v="1013"/>
        <n v="4054"/>
        <n v="5057"/>
        <n v="2029"/>
        <n v="1529"/>
        <n v="1018"/>
        <n v="15060"/>
        <n v="3041"/>
        <n v="2028"/>
        <n v="7000"/>
        <n v="513"/>
        <s v=""/>
      </sharedItems>
    </cacheField>
    <cacheField name="Rate" numFmtId="0">
      <sharedItems containsNumber="1" containsMixedTypes="1" count="4">
        <n v="0.15"/>
        <n v="0"/>
        <n v="0.1"/>
        <s v=""/>
      </sharedItems>
    </cacheField>
    <cacheField name="Interest" numFmtId="0">
      <sharedItems containsNumber="1" containsInteger="1" containsMixedTypes="1" count="10">
        <n v="2700"/>
        <n v="0"/>
        <n v="600"/>
        <n v="750"/>
        <n v="300"/>
        <n v="150"/>
        <n v="1500"/>
        <n v="450"/>
        <n v="1050"/>
        <s v=""/>
      </sharedItems>
    </cacheField>
    <cacheField name="Expected Amnt" numFmtId="0">
      <sharedItems containsNumber="1" containsInteger="1" containsMixedTypes="1" count="13">
        <n v="20700"/>
        <n v="1100"/>
        <n v="500"/>
        <n v="4600"/>
        <n v="1000"/>
        <n v="5750"/>
        <n v="2300"/>
        <n v="1500"/>
        <n v="1150"/>
        <n v="16500"/>
        <n v="3450"/>
        <n v="8050"/>
        <s v=""/>
      </sharedItems>
    </cacheField>
    <cacheField name="Loan Date" numFmtId="0">
      <sharedItems containsNumber="1" containsInteger="1" containsMixedTypes="1" count="19">
        <n v="45964"/>
        <n v="45952"/>
        <n v="45956"/>
        <n v="45757"/>
        <n v="45698"/>
        <n v="45967"/>
        <n v="45972"/>
        <n v="45975"/>
        <n v="45981"/>
        <n v="45983"/>
        <n v="45992"/>
        <n v="45993"/>
        <n v="45994"/>
        <n v="46015"/>
        <n v="46020"/>
        <n v="45717"/>
        <n v="46031"/>
        <n v="46039"/>
        <s v=""/>
      </sharedItems>
    </cacheField>
    <cacheField name="Remittance Amount" numFmtId="0">
      <sharedItems containsNumber="1" containsInteger="1" containsMixedTypes="1" count="10">
        <n v="0"/>
        <n v="3000"/>
        <n v="4600"/>
        <n v="5750"/>
        <n v="1600"/>
        <n v="1150"/>
        <n v="10000"/>
        <n v="3450"/>
        <n v="2300"/>
        <s v=""/>
      </sharedItems>
    </cacheField>
    <cacheField name="Unpaid Amount" numFmtId="0">
      <sharedItems containsNumber="1" containsInteger="1" containsMixedTypes="1" count="12">
        <n v="20700"/>
        <n v="1100"/>
        <n v="500"/>
        <n v="1600"/>
        <n v="1000"/>
        <n v="0"/>
        <n v="2300"/>
        <n v="-100"/>
        <n v="6500"/>
        <n v="8050"/>
        <n v="1150"/>
        <s v=""/>
      </sharedItems>
    </cacheField>
    <cacheField name="Profit" numFmtId="0">
      <sharedItems containsNumber="1" containsInteger="1" containsMixedTypes="1" count="8">
        <n v="0"/>
        <n v="546"/>
        <n v="693"/>
        <n v="71"/>
        <n v="132"/>
        <n v="409"/>
        <n v="272"/>
        <s v=""/>
      </sharedItems>
    </cacheField>
    <cacheField name="Loss" numFmtId="0">
      <sharedItems containsNumber="1" containsInteger="1" containsMixedTypes="1" count="4">
        <n v="0"/>
        <n v="1600"/>
        <n v="1000"/>
        <s v=""/>
      </sharedItems>
    </cacheField>
    <cacheField name="Loan Status" numFmtId="0">
      <sharedItems count="4">
        <s v="Pending"/>
        <s v="Bad debt"/>
        <s v="Settled"/>
        <s v="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9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1"/>
    <x v="0"/>
    <x v="0"/>
    <x v="0"/>
  </r>
  <r>
    <x v="2"/>
    <x v="2"/>
    <x v="2"/>
    <x v="2"/>
    <x v="2"/>
    <x v="2"/>
    <x v="2"/>
    <x v="1"/>
    <x v="1"/>
    <x v="2"/>
    <x v="2"/>
    <x v="0"/>
    <x v="2"/>
    <x v="0"/>
    <x v="0"/>
    <x v="0"/>
  </r>
  <r>
    <x v="3"/>
    <x v="3"/>
    <x v="3"/>
    <x v="3"/>
    <x v="3"/>
    <x v="3"/>
    <x v="3"/>
    <x v="0"/>
    <x v="2"/>
    <x v="3"/>
    <x v="3"/>
    <x v="1"/>
    <x v="3"/>
    <x v="0"/>
    <x v="1"/>
    <x v="1"/>
  </r>
  <r>
    <x v="4"/>
    <x v="4"/>
    <x v="4"/>
    <x v="4"/>
    <x v="4"/>
    <x v="1"/>
    <x v="4"/>
    <x v="1"/>
    <x v="1"/>
    <x v="4"/>
    <x v="4"/>
    <x v="0"/>
    <x v="4"/>
    <x v="0"/>
    <x v="2"/>
    <x v="1"/>
  </r>
  <r>
    <x v="5"/>
    <x v="5"/>
    <x v="5"/>
    <x v="0"/>
    <x v="3"/>
    <x v="4"/>
    <x v="5"/>
    <x v="0"/>
    <x v="2"/>
    <x v="3"/>
    <x v="0"/>
    <x v="2"/>
    <x v="5"/>
    <x v="1"/>
    <x v="0"/>
    <x v="2"/>
  </r>
  <r>
    <x v="6"/>
    <x v="6"/>
    <x v="6"/>
    <x v="5"/>
    <x v="5"/>
    <x v="5"/>
    <x v="6"/>
    <x v="0"/>
    <x v="3"/>
    <x v="5"/>
    <x v="5"/>
    <x v="3"/>
    <x v="5"/>
    <x v="2"/>
    <x v="0"/>
    <x v="2"/>
  </r>
  <r>
    <x v="7"/>
    <x v="7"/>
    <x v="7"/>
    <x v="6"/>
    <x v="6"/>
    <x v="6"/>
    <x v="7"/>
    <x v="0"/>
    <x v="4"/>
    <x v="6"/>
    <x v="6"/>
    <x v="0"/>
    <x v="6"/>
    <x v="0"/>
    <x v="0"/>
    <x v="0"/>
  </r>
  <r>
    <x v="8"/>
    <x v="8"/>
    <x v="8"/>
    <x v="7"/>
    <x v="7"/>
    <x v="6"/>
    <x v="8"/>
    <x v="1"/>
    <x v="1"/>
    <x v="7"/>
    <x v="7"/>
    <x v="4"/>
    <x v="7"/>
    <x v="3"/>
    <x v="0"/>
    <x v="2"/>
  </r>
  <r>
    <x v="9"/>
    <x v="9"/>
    <x v="9"/>
    <x v="8"/>
    <x v="4"/>
    <x v="7"/>
    <x v="9"/>
    <x v="0"/>
    <x v="5"/>
    <x v="8"/>
    <x v="8"/>
    <x v="5"/>
    <x v="5"/>
    <x v="4"/>
    <x v="0"/>
    <x v="2"/>
  </r>
  <r>
    <x v="10"/>
    <x v="10"/>
    <x v="10"/>
    <x v="9"/>
    <x v="8"/>
    <x v="8"/>
    <x v="10"/>
    <x v="2"/>
    <x v="6"/>
    <x v="9"/>
    <x v="9"/>
    <x v="6"/>
    <x v="8"/>
    <x v="0"/>
    <x v="0"/>
    <x v="0"/>
  </r>
  <r>
    <x v="11"/>
    <x v="11"/>
    <x v="11"/>
    <x v="10"/>
    <x v="5"/>
    <x v="5"/>
    <x v="6"/>
    <x v="0"/>
    <x v="3"/>
    <x v="5"/>
    <x v="10"/>
    <x v="3"/>
    <x v="5"/>
    <x v="2"/>
    <x v="0"/>
    <x v="2"/>
  </r>
  <r>
    <x v="12"/>
    <x v="12"/>
    <x v="12"/>
    <x v="11"/>
    <x v="9"/>
    <x v="9"/>
    <x v="11"/>
    <x v="0"/>
    <x v="7"/>
    <x v="10"/>
    <x v="11"/>
    <x v="7"/>
    <x v="5"/>
    <x v="5"/>
    <x v="0"/>
    <x v="2"/>
  </r>
  <r>
    <x v="13"/>
    <x v="13"/>
    <x v="13"/>
    <x v="12"/>
    <x v="6"/>
    <x v="10"/>
    <x v="12"/>
    <x v="0"/>
    <x v="4"/>
    <x v="6"/>
    <x v="12"/>
    <x v="8"/>
    <x v="5"/>
    <x v="6"/>
    <x v="0"/>
    <x v="2"/>
  </r>
  <r>
    <x v="14"/>
    <x v="14"/>
    <x v="14"/>
    <x v="13"/>
    <x v="10"/>
    <x v="11"/>
    <x v="13"/>
    <x v="0"/>
    <x v="8"/>
    <x v="11"/>
    <x v="13"/>
    <x v="0"/>
    <x v="9"/>
    <x v="0"/>
    <x v="0"/>
    <x v="0"/>
  </r>
  <r>
    <x v="15"/>
    <x v="15"/>
    <x v="15"/>
    <x v="14"/>
    <x v="6"/>
    <x v="10"/>
    <x v="12"/>
    <x v="0"/>
    <x v="4"/>
    <x v="6"/>
    <x v="14"/>
    <x v="0"/>
    <x v="6"/>
    <x v="0"/>
    <x v="0"/>
    <x v="0"/>
  </r>
  <r>
    <x v="16"/>
    <x v="16"/>
    <x v="16"/>
    <x v="15"/>
    <x v="4"/>
    <x v="1"/>
    <x v="4"/>
    <x v="1"/>
    <x v="1"/>
    <x v="4"/>
    <x v="15"/>
    <x v="0"/>
    <x v="4"/>
    <x v="0"/>
    <x v="0"/>
    <x v="0"/>
  </r>
  <r>
    <x v="17"/>
    <x v="17"/>
    <x v="17"/>
    <x v="16"/>
    <x v="2"/>
    <x v="1"/>
    <x v="14"/>
    <x v="1"/>
    <x v="1"/>
    <x v="2"/>
    <x v="16"/>
    <x v="0"/>
    <x v="2"/>
    <x v="0"/>
    <x v="0"/>
    <x v="0"/>
  </r>
  <r>
    <x v="18"/>
    <x v="18"/>
    <x v="18"/>
    <x v="17"/>
    <x v="4"/>
    <x v="7"/>
    <x v="9"/>
    <x v="0"/>
    <x v="5"/>
    <x v="8"/>
    <x v="17"/>
    <x v="0"/>
    <x v="10"/>
    <x v="0"/>
    <x v="0"/>
    <x v="0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  <r>
    <x v="19"/>
    <x v="19"/>
    <x v="19"/>
    <x v="18"/>
    <x v="11"/>
    <x v="12"/>
    <x v="15"/>
    <x v="3"/>
    <x v="9"/>
    <x v="12"/>
    <x v="18"/>
    <x v="9"/>
    <x v="11"/>
    <x v="7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4" firstHeaderRow="0" firstDataRow="1" firstDataCol="0"/>
  <pivotFields count="16">
    <pivotField compact="0" showAll="0">
      <items count="21">
        <item x="19"/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x="3"/>
        <item x="4"/>
        <item x="5"/>
        <item x="6"/>
        <item x="7"/>
        <item x="8"/>
        <item x="19"/>
        <item t="default"/>
      </items>
    </pivotField>
    <pivotField compact="0" showAll="0">
      <items count="21">
        <item x="19"/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0">
        <item x="4"/>
        <item x="15"/>
        <item x="3"/>
        <item x="1"/>
        <item x="2"/>
        <item x="0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t="default"/>
      </items>
    </pivotField>
    <pivotField compact="0" showAll="0">
      <items count="13">
        <item x="2"/>
        <item x="4"/>
        <item x="1"/>
        <item x="7"/>
        <item x="6"/>
        <item x="9"/>
        <item x="3"/>
        <item x="5"/>
        <item x="10"/>
        <item x="8"/>
        <item x="0"/>
        <item x="11"/>
        <item t="default"/>
      </items>
    </pivotField>
    <pivotField compact="0" showAll="0">
      <items count="14">
        <item x="11"/>
        <item x="2"/>
        <item x="1"/>
        <item x="7"/>
        <item x="10"/>
        <item x="6"/>
        <item x="3"/>
        <item x="9"/>
        <item x="4"/>
        <item x="5"/>
        <item x="8"/>
        <item x="0"/>
        <item x="12"/>
        <item t="default"/>
      </items>
    </pivotField>
    <pivotField compact="0" showAll="0">
      <items count="17">
        <item x="2"/>
        <item x="14"/>
        <item x="4"/>
        <item x="9"/>
        <item x="1"/>
        <item x="8"/>
        <item x="12"/>
        <item x="7"/>
        <item x="11"/>
        <item x="3"/>
        <item x="5"/>
        <item x="6"/>
        <item x="13"/>
        <item x="10"/>
        <item x="0"/>
        <item x="1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1">
        <item x="1"/>
        <item x="5"/>
        <item x="4"/>
        <item x="7"/>
        <item x="2"/>
        <item x="3"/>
        <item x="8"/>
        <item x="6"/>
        <item x="0"/>
        <item x="9"/>
        <item t="default"/>
      </items>
    </pivotField>
    <pivotField compact="0" showAll="0">
      <items count="14">
        <item x="2"/>
        <item x="4"/>
        <item x="1"/>
        <item x="8"/>
        <item x="7"/>
        <item x="6"/>
        <item x="10"/>
        <item x="3"/>
        <item x="5"/>
        <item x="11"/>
        <item x="9"/>
        <item x="0"/>
        <item x="12"/>
        <item t="default"/>
      </items>
    </pivotField>
    <pivotField compact="0" showAll="0">
      <items count="20">
        <item x="4"/>
        <item x="15"/>
        <item x="3"/>
        <item x="1"/>
        <item x="2"/>
        <item x="0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t="default"/>
      </items>
    </pivotField>
    <pivotField dataField="1" compact="0" showAll="0">
      <items count="11">
        <item x="0"/>
        <item x="5"/>
        <item x="4"/>
        <item x="8"/>
        <item x="1"/>
        <item x="7"/>
        <item x="2"/>
        <item x="3"/>
        <item x="6"/>
        <item x="9"/>
        <item t="default"/>
      </items>
    </pivotField>
    <pivotField dataField="1" compact="0" showAll="0">
      <items count="13">
        <item x="7"/>
        <item x="5"/>
        <item x="2"/>
        <item x="4"/>
        <item x="1"/>
        <item x="10"/>
        <item x="3"/>
        <item x="6"/>
        <item x="8"/>
        <item x="9"/>
        <item x="0"/>
        <item x="11"/>
        <item t="default"/>
      </items>
    </pivotField>
    <pivotField compact="0" showAll="0">
      <items count="9">
        <item x="0"/>
        <item x="3"/>
        <item x="4"/>
        <item x="6"/>
        <item x="5"/>
        <item x="1"/>
        <item x="2"/>
        <item x="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Unpaid Amount" fld="12" baseField="0" baseItem="0"/>
    <dataField name="Sum of Remittance Amoun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16">
    <pivotField compact="0" showAll="0">
      <items count="21">
        <item x="19"/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x="3"/>
        <item x="4"/>
        <item x="5"/>
        <item x="6"/>
        <item x="7"/>
        <item x="8"/>
        <item x="19"/>
        <item t="default"/>
      </items>
    </pivotField>
    <pivotField compact="0" showAll="0">
      <items count="21">
        <item x="19"/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0">
        <item x="4"/>
        <item x="15"/>
        <item x="3"/>
        <item x="1"/>
        <item x="2"/>
        <item x="0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t="default"/>
      </items>
    </pivotField>
    <pivotField compact="0" showAll="0">
      <items count="13">
        <item x="2"/>
        <item x="4"/>
        <item x="1"/>
        <item x="7"/>
        <item x="6"/>
        <item x="9"/>
        <item x="3"/>
        <item x="5"/>
        <item x="10"/>
        <item x="8"/>
        <item x="0"/>
        <item x="11"/>
        <item t="default"/>
      </items>
    </pivotField>
    <pivotField compact="0" showAll="0">
      <items count="14">
        <item x="11"/>
        <item x="2"/>
        <item x="1"/>
        <item x="7"/>
        <item x="10"/>
        <item x="6"/>
        <item x="3"/>
        <item x="9"/>
        <item x="4"/>
        <item x="5"/>
        <item x="8"/>
        <item x="0"/>
        <item x="12"/>
        <item t="default"/>
      </items>
    </pivotField>
    <pivotField compact="0" showAll="0">
      <items count="17">
        <item x="2"/>
        <item x="14"/>
        <item x="4"/>
        <item x="9"/>
        <item x="1"/>
        <item x="8"/>
        <item x="12"/>
        <item x="7"/>
        <item x="11"/>
        <item x="3"/>
        <item x="5"/>
        <item x="6"/>
        <item x="13"/>
        <item x="10"/>
        <item x="0"/>
        <item x="1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1">
        <item x="1"/>
        <item x="5"/>
        <item x="4"/>
        <item x="7"/>
        <item x="2"/>
        <item x="3"/>
        <item x="8"/>
        <item x="6"/>
        <item x="0"/>
        <item x="9"/>
        <item t="default"/>
      </items>
    </pivotField>
    <pivotField compact="0" showAll="0">
      <items count="14">
        <item x="2"/>
        <item x="4"/>
        <item x="1"/>
        <item x="8"/>
        <item x="7"/>
        <item x="6"/>
        <item x="10"/>
        <item x="3"/>
        <item x="5"/>
        <item x="11"/>
        <item x="9"/>
        <item x="0"/>
        <item x="12"/>
        <item t="default"/>
      </items>
    </pivotField>
    <pivotField compact="0" showAll="0">
      <items count="20">
        <item x="4"/>
        <item x="15"/>
        <item x="3"/>
        <item x="1"/>
        <item x="2"/>
        <item x="0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t="default"/>
      </items>
    </pivotField>
    <pivotField compact="0" showAll="0">
      <items count="11">
        <item x="0"/>
        <item x="5"/>
        <item x="4"/>
        <item x="8"/>
        <item x="1"/>
        <item x="7"/>
        <item x="2"/>
        <item x="3"/>
        <item x="6"/>
        <item x="9"/>
        <item t="default"/>
      </items>
    </pivotField>
    <pivotField compact="0" showAll="0">
      <items count="13">
        <item x="7"/>
        <item x="5"/>
        <item x="2"/>
        <item x="4"/>
        <item x="1"/>
        <item x="10"/>
        <item x="3"/>
        <item x="6"/>
        <item x="8"/>
        <item x="9"/>
        <item x="0"/>
        <item x="11"/>
        <item t="default"/>
      </items>
    </pivotField>
    <pivotField compact="0" showAll="0">
      <items count="9">
        <item x="0"/>
        <item x="3"/>
        <item x="4"/>
        <item x="6"/>
        <item x="5"/>
        <item x="1"/>
        <item x="2"/>
        <item x="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axis="axisRow" dataField="1" compact="0" showAll="0">
      <items count="5">
        <item x="3"/>
        <item x="1"/>
        <item x="0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oan Status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aveform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Waveform">
      <a:majorFont>
        <a:latin typeface="Candara"/>
        <a:ea typeface=""/>
        <a:cs typeface=""/>
        <a:font script="Jpan" typeface="HGP明朝E"/>
        <a:font script="Hang" typeface="HY그래픽M"/>
        <a:font script="Hans" typeface="华文新魏"/>
        <a:font script="Hant" typeface="標楷體"/>
        <a:font script="Arab" typeface="Arial"/>
        <a:font script="Hebr" typeface="Arial"/>
        <a:font script="Thai" typeface="Kodchiang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ndara"/>
        <a:ea typeface=""/>
        <a:cs typeface=""/>
        <a:font script="Jpan" typeface="HGP明朝E"/>
        <a:font script="Hang" typeface="HY그래픽M"/>
        <a:font script="Hans" typeface="华文楷体"/>
        <a:font script="Hant" typeface="標楷體"/>
        <a:font script="Arab" typeface="Arial"/>
        <a:font script="Hebr" typeface="Arial"/>
        <a:font script="Thai" typeface="Kodchiang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aveform">
      <a:fillStyleLst>
        <a:solidFill>
          <a:schemeClr val="phClr"/>
        </a:solidFill>
        <a:gradFill rotWithShape="1">
          <a:gsLst>
            <a:gs pos="0">
              <a:schemeClr val="phClr">
                <a:tint val="0"/>
              </a:schemeClr>
            </a:gs>
            <a:gs pos="44000">
              <a:schemeClr val="phClr">
                <a:tint val="60000"/>
                <a:satMod val="120000"/>
              </a:schemeClr>
            </a:gs>
            <a:gs pos="100000">
              <a:schemeClr val="phClr">
                <a:tint val="90000"/>
                <a:alpha val="100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20000"/>
                <a:lumMod val="120000"/>
              </a:schemeClr>
            </a:gs>
            <a:gs pos="100000">
              <a:schemeClr val="phClr">
                <a:shade val="89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>
              <a:shade val="75000"/>
              <a:lumMod val="8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prstMaterial="flat">
            <a:bevelT w="12700" h="12700"/>
          </a:sp3d>
        </a:effectStyle>
        <a:effectStyle>
          <a:effectLst>
            <a:outerShdw blurRad="50800" dist="25400" dir="5400000" rotWithShape="0">
              <a:srgbClr val="000000">
                <a:alpha val="38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6360000"/>
            </a:lightRig>
          </a:scene3d>
          <a:sp3d contourW="19050" prstMaterial="flat">
            <a:bevelT w="63500" h="63500"/>
            <a:contourClr>
              <a:schemeClr val="phClr">
                <a:shade val="25000"/>
                <a:satMod val="18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40000">
              <a:schemeClr val="phClr">
                <a:tint val="94000"/>
                <a:shade val="94000"/>
                <a:alpha val="100000"/>
                <a:satMod val="114000"/>
                <a:lumMod val="114000"/>
              </a:schemeClr>
            </a:gs>
            <a:gs pos="74000">
              <a:schemeClr val="phClr">
                <a:tint val="94000"/>
                <a:shade val="94000"/>
                <a:satMod val="128000"/>
                <a:lumMod val="100000"/>
              </a:schemeClr>
            </a:gs>
            <a:gs pos="100000">
              <a:schemeClr val="phClr">
                <a:tint val="98000"/>
                <a:shade val="100000"/>
                <a:hueMod val="98000"/>
                <a:satMod val="100000"/>
                <a:lumMod val="74000"/>
              </a:schemeClr>
            </a:gs>
          </a:gsLst>
          <a:path path="circle">
            <a:fillToRect l="20000" t="-40000" r="20000" b="140000"/>
          </a:path>
        </a:gradFill>
        <a:blipFill rotWithShape="1">
          <a:stretch>
            <a:fillRect/>
          </a:stretch>
        </a:blip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workbookViewId="0">
      <selection activeCell="C11" sqref="C11"/>
    </sheetView>
  </sheetViews>
  <sheetFormatPr defaultColWidth="9" defaultRowHeight="15" outlineLevelCol="7"/>
  <cols>
    <col min="2" max="2" width="12.625" customWidth="1"/>
    <col min="3" max="3" width="13.25" style="5" customWidth="1"/>
    <col min="4" max="4" width="16.5" customWidth="1"/>
    <col min="5" max="5" width="12.375" customWidth="1"/>
    <col min="6" max="6" width="10.75" customWidth="1"/>
    <col min="7" max="7" width="14" customWidth="1"/>
    <col min="8" max="8" width="14.875" customWidth="1"/>
  </cols>
  <sheetData>
    <row r="1" spans="1:4">
      <c r="A1" t="s">
        <v>0</v>
      </c>
      <c r="B1" t="s">
        <v>1</v>
      </c>
      <c r="C1" s="5" t="s">
        <v>2</v>
      </c>
      <c r="D1" t="s">
        <v>3</v>
      </c>
    </row>
    <row r="2" spans="1:4">
      <c r="A2" t="str">
        <f>IF(B2&lt;&gt;"","Client"&amp;ROW()-1,"")</f>
        <v>Client1</v>
      </c>
      <c r="B2" t="s">
        <v>4</v>
      </c>
      <c r="C2" s="7" t="s">
        <v>5</v>
      </c>
      <c r="D2" s="5"/>
    </row>
    <row r="3" spans="1:4">
      <c r="A3" t="str">
        <f t="shared" ref="A3:A66" si="0">IF(B3&lt;&gt;"","Client"&amp;ROW()-1,"")</f>
        <v>Client2</v>
      </c>
      <c r="B3" t="s">
        <v>6</v>
      </c>
      <c r="C3" s="5" t="s">
        <v>7</v>
      </c>
      <c r="D3" s="5"/>
    </row>
    <row r="4" spans="1:4">
      <c r="A4" t="str">
        <f t="shared" si="0"/>
        <v>Client3</v>
      </c>
      <c r="B4" t="s">
        <v>8</v>
      </c>
      <c r="C4" s="5" t="s">
        <v>9</v>
      </c>
      <c r="D4" s="5"/>
    </row>
    <row r="5" spans="1:4">
      <c r="A5" t="str">
        <f t="shared" si="0"/>
        <v>Client4</v>
      </c>
      <c r="B5" s="6" t="s">
        <v>10</v>
      </c>
      <c r="C5" s="5" t="s">
        <v>11</v>
      </c>
      <c r="D5" s="5"/>
    </row>
    <row r="6" spans="1:8">
      <c r="A6" t="str">
        <f t="shared" si="0"/>
        <v>Client5</v>
      </c>
      <c r="B6" t="s">
        <v>12</v>
      </c>
      <c r="C6" s="5" t="s">
        <v>13</v>
      </c>
      <c r="D6" s="5" t="s">
        <v>14</v>
      </c>
      <c r="H6" s="3"/>
    </row>
    <row r="7" spans="1:4">
      <c r="A7" t="str">
        <f t="shared" si="0"/>
        <v>Client6</v>
      </c>
      <c r="B7" t="s">
        <v>15</v>
      </c>
      <c r="C7" s="5" t="s">
        <v>16</v>
      </c>
      <c r="D7" s="5"/>
    </row>
    <row r="8" spans="1:4">
      <c r="A8" t="str">
        <f t="shared" si="0"/>
        <v>Client7</v>
      </c>
      <c r="B8" t="s">
        <v>17</v>
      </c>
      <c r="C8" s="5" t="s">
        <v>18</v>
      </c>
      <c r="D8" s="5"/>
    </row>
    <row r="9" spans="1:4">
      <c r="A9" t="str">
        <f t="shared" si="0"/>
        <v>Client8</v>
      </c>
      <c r="B9" s="6" t="s">
        <v>19</v>
      </c>
      <c r="C9" s="5" t="s">
        <v>20</v>
      </c>
      <c r="D9" s="5"/>
    </row>
    <row r="10" spans="1:4">
      <c r="A10" t="str">
        <f t="shared" si="0"/>
        <v>Client9</v>
      </c>
      <c r="B10" t="s">
        <v>21</v>
      </c>
      <c r="C10" s="5" t="s">
        <v>22</v>
      </c>
      <c r="D10" s="5"/>
    </row>
    <row r="11" spans="1:4">
      <c r="A11" t="str">
        <f t="shared" si="0"/>
        <v/>
      </c>
      <c r="D11" s="5"/>
    </row>
    <row r="12" spans="1:4">
      <c r="A12" t="str">
        <f t="shared" si="0"/>
        <v/>
      </c>
      <c r="D12" s="5"/>
    </row>
    <row r="13" spans="1:4">
      <c r="A13" t="str">
        <f t="shared" si="0"/>
        <v/>
      </c>
      <c r="D13" s="5"/>
    </row>
    <row r="14" spans="1:4">
      <c r="A14" t="str">
        <f t="shared" si="0"/>
        <v/>
      </c>
      <c r="D14" s="5"/>
    </row>
    <row r="15" spans="1:4">
      <c r="A15" t="str">
        <f t="shared" si="0"/>
        <v/>
      </c>
      <c r="D15" s="5"/>
    </row>
    <row r="16" spans="1:4">
      <c r="A16" t="str">
        <f t="shared" si="0"/>
        <v/>
      </c>
      <c r="D16" s="5"/>
    </row>
    <row r="17" spans="1:4">
      <c r="A17" t="str">
        <f t="shared" si="0"/>
        <v/>
      </c>
      <c r="D17" s="5"/>
    </row>
    <row r="18" spans="1:4">
      <c r="A18" t="str">
        <f t="shared" si="0"/>
        <v/>
      </c>
      <c r="D18" s="5"/>
    </row>
    <row r="19" spans="1:4">
      <c r="A19" t="str">
        <f t="shared" si="0"/>
        <v/>
      </c>
      <c r="D19" s="5"/>
    </row>
    <row r="20" spans="1:4">
      <c r="A20" t="str">
        <f t="shared" si="0"/>
        <v/>
      </c>
      <c r="D20" s="5"/>
    </row>
    <row r="21" spans="1:4">
      <c r="A21" t="str">
        <f t="shared" si="0"/>
        <v/>
      </c>
      <c r="D21" s="5"/>
    </row>
    <row r="22" spans="1:4">
      <c r="A22" t="str">
        <f t="shared" si="0"/>
        <v/>
      </c>
      <c r="D22" s="5"/>
    </row>
    <row r="23" spans="1:4">
      <c r="A23" t="str">
        <f t="shared" si="0"/>
        <v/>
      </c>
      <c r="D23" s="5"/>
    </row>
    <row r="24" spans="1:4">
      <c r="A24" t="str">
        <f t="shared" si="0"/>
        <v/>
      </c>
      <c r="D24" s="5"/>
    </row>
    <row r="25" spans="1:4">
      <c r="A25" t="str">
        <f t="shared" si="0"/>
        <v/>
      </c>
      <c r="D25" s="5"/>
    </row>
    <row r="26" spans="1:4">
      <c r="A26" t="str">
        <f t="shared" si="0"/>
        <v/>
      </c>
      <c r="D26" s="5"/>
    </row>
    <row r="27" spans="1:4">
      <c r="A27" t="str">
        <f t="shared" si="0"/>
        <v/>
      </c>
      <c r="D27" s="5"/>
    </row>
    <row r="28" spans="1:4">
      <c r="A28" t="str">
        <f t="shared" si="0"/>
        <v/>
      </c>
      <c r="D28" s="5"/>
    </row>
    <row r="29" spans="1:4">
      <c r="A29" t="str">
        <f t="shared" si="0"/>
        <v/>
      </c>
      <c r="D29" s="5"/>
    </row>
    <row r="30" spans="1:4">
      <c r="A30" t="str">
        <f t="shared" si="0"/>
        <v/>
      </c>
      <c r="D30" s="5"/>
    </row>
    <row r="31" spans="1:4">
      <c r="A31" t="str">
        <f t="shared" si="0"/>
        <v/>
      </c>
      <c r="D31" s="5"/>
    </row>
    <row r="32" spans="1:4">
      <c r="A32" t="str">
        <f t="shared" si="0"/>
        <v/>
      </c>
      <c r="D32" s="5"/>
    </row>
    <row r="33" spans="1:4">
      <c r="A33" t="str">
        <f t="shared" si="0"/>
        <v/>
      </c>
      <c r="D33" s="5"/>
    </row>
    <row r="34" spans="1:4">
      <c r="A34" t="str">
        <f t="shared" si="0"/>
        <v/>
      </c>
      <c r="D34" s="5"/>
    </row>
    <row r="35" spans="1:4">
      <c r="A35" t="str">
        <f t="shared" si="0"/>
        <v/>
      </c>
      <c r="D35" s="5"/>
    </row>
    <row r="36" spans="1:4">
      <c r="A36" t="str">
        <f t="shared" si="0"/>
        <v/>
      </c>
      <c r="D36" s="5"/>
    </row>
    <row r="37" spans="1:4">
      <c r="A37" t="str">
        <f t="shared" si="0"/>
        <v/>
      </c>
      <c r="D37" s="5"/>
    </row>
    <row r="38" spans="1:4">
      <c r="A38" t="str">
        <f t="shared" si="0"/>
        <v/>
      </c>
      <c r="D38" s="5"/>
    </row>
    <row r="39" spans="1:4">
      <c r="A39" t="str">
        <f t="shared" si="0"/>
        <v/>
      </c>
      <c r="D39" s="5"/>
    </row>
    <row r="40" spans="1:4">
      <c r="A40" t="str">
        <f t="shared" si="0"/>
        <v/>
      </c>
      <c r="D40" s="5"/>
    </row>
    <row r="41" spans="1:4">
      <c r="A41" t="str">
        <f t="shared" si="0"/>
        <v/>
      </c>
      <c r="D41" s="5"/>
    </row>
    <row r="42" spans="1:4">
      <c r="A42" t="str">
        <f t="shared" si="0"/>
        <v/>
      </c>
      <c r="D42" s="5"/>
    </row>
    <row r="43" spans="1:4">
      <c r="A43" t="str">
        <f t="shared" si="0"/>
        <v/>
      </c>
      <c r="D43" s="5"/>
    </row>
    <row r="44" spans="1:4">
      <c r="A44" t="str">
        <f t="shared" si="0"/>
        <v/>
      </c>
      <c r="D44" s="5"/>
    </row>
    <row r="45" spans="1:4">
      <c r="A45" t="str">
        <f t="shared" si="0"/>
        <v/>
      </c>
      <c r="D45" s="5"/>
    </row>
    <row r="46" spans="1:4">
      <c r="A46" t="str">
        <f t="shared" si="0"/>
        <v/>
      </c>
      <c r="D46" s="5"/>
    </row>
    <row r="47" spans="1:4">
      <c r="A47" t="str">
        <f t="shared" si="0"/>
        <v/>
      </c>
      <c r="D47" s="5"/>
    </row>
    <row r="48" spans="1:4">
      <c r="A48" t="str">
        <f t="shared" si="0"/>
        <v/>
      </c>
      <c r="D48" s="5"/>
    </row>
    <row r="49" spans="1:4">
      <c r="A49" t="str">
        <f t="shared" si="0"/>
        <v/>
      </c>
      <c r="D49" s="5"/>
    </row>
    <row r="50" spans="1:4">
      <c r="A50" t="str">
        <f t="shared" si="0"/>
        <v/>
      </c>
      <c r="D50" s="5"/>
    </row>
    <row r="51" spans="1:4">
      <c r="A51" t="str">
        <f t="shared" si="0"/>
        <v/>
      </c>
      <c r="D51" s="5"/>
    </row>
    <row r="52" spans="1:4">
      <c r="A52" t="str">
        <f t="shared" si="0"/>
        <v/>
      </c>
      <c r="D52" s="5"/>
    </row>
    <row r="53" spans="1:4">
      <c r="A53" t="str">
        <f t="shared" si="0"/>
        <v/>
      </c>
      <c r="D53" s="5"/>
    </row>
    <row r="54" spans="1:4">
      <c r="A54" t="str">
        <f t="shared" si="0"/>
        <v/>
      </c>
      <c r="D54" s="5"/>
    </row>
    <row r="55" spans="1:4">
      <c r="A55" t="str">
        <f t="shared" si="0"/>
        <v/>
      </c>
      <c r="D55" s="5"/>
    </row>
    <row r="56" spans="1:4">
      <c r="A56" t="str">
        <f t="shared" si="0"/>
        <v/>
      </c>
      <c r="D56" s="5"/>
    </row>
    <row r="57" spans="1:4">
      <c r="A57" t="str">
        <f t="shared" si="0"/>
        <v/>
      </c>
      <c r="D57" s="5"/>
    </row>
    <row r="58" spans="1:4">
      <c r="A58" t="str">
        <f t="shared" si="0"/>
        <v/>
      </c>
      <c r="D58" s="5"/>
    </row>
    <row r="59" spans="1:4">
      <c r="A59" t="str">
        <f t="shared" si="0"/>
        <v/>
      </c>
      <c r="D59" s="5"/>
    </row>
    <row r="60" spans="1:4">
      <c r="A60" t="str">
        <f t="shared" si="0"/>
        <v/>
      </c>
      <c r="D60" s="5"/>
    </row>
    <row r="61" spans="1:4">
      <c r="A61" t="str">
        <f t="shared" si="0"/>
        <v/>
      </c>
      <c r="D61" s="5"/>
    </row>
    <row r="62" spans="1:4">
      <c r="A62" t="str">
        <f t="shared" si="0"/>
        <v/>
      </c>
      <c r="D62" s="5"/>
    </row>
    <row r="63" spans="1:4">
      <c r="A63" t="str">
        <f t="shared" si="0"/>
        <v/>
      </c>
      <c r="D63" s="5"/>
    </row>
    <row r="64" spans="1:4">
      <c r="A64" t="str">
        <f t="shared" si="0"/>
        <v/>
      </c>
      <c r="D64" s="5"/>
    </row>
    <row r="65" spans="1:4">
      <c r="A65" t="str">
        <f t="shared" si="0"/>
        <v/>
      </c>
      <c r="D65" s="5"/>
    </row>
    <row r="66" spans="1:4">
      <c r="A66" t="str">
        <f t="shared" si="0"/>
        <v/>
      </c>
      <c r="D66" s="5"/>
    </row>
    <row r="67" spans="1:4">
      <c r="A67" t="str">
        <f t="shared" ref="A67:A130" si="1">IF(B67&lt;&gt;"","Client"&amp;ROW()-1,"")</f>
        <v/>
      </c>
      <c r="D67" s="5"/>
    </row>
    <row r="68" spans="1:4">
      <c r="A68" t="str">
        <f t="shared" si="1"/>
        <v/>
      </c>
      <c r="D68" s="5"/>
    </row>
    <row r="69" spans="1:4">
      <c r="A69" t="str">
        <f t="shared" si="1"/>
        <v/>
      </c>
      <c r="D69" s="5"/>
    </row>
    <row r="70" spans="1:4">
      <c r="A70" t="str">
        <f t="shared" si="1"/>
        <v/>
      </c>
      <c r="D70" s="5"/>
    </row>
    <row r="71" spans="1:4">
      <c r="A71" t="str">
        <f t="shared" si="1"/>
        <v/>
      </c>
      <c r="D71" s="5"/>
    </row>
    <row r="72" spans="1:4">
      <c r="A72" t="str">
        <f t="shared" si="1"/>
        <v/>
      </c>
      <c r="D72" s="5"/>
    </row>
    <row r="73" spans="1:4">
      <c r="A73" t="str">
        <f t="shared" si="1"/>
        <v/>
      </c>
      <c r="D73" s="5"/>
    </row>
    <row r="74" spans="1:4">
      <c r="A74" t="str">
        <f t="shared" si="1"/>
        <v/>
      </c>
      <c r="D74" s="5"/>
    </row>
    <row r="75" spans="1:4">
      <c r="A75" t="str">
        <f t="shared" si="1"/>
        <v/>
      </c>
      <c r="D75" s="5"/>
    </row>
    <row r="76" spans="1:4">
      <c r="A76" t="str">
        <f t="shared" si="1"/>
        <v/>
      </c>
      <c r="D76" s="5"/>
    </row>
    <row r="77" spans="1:4">
      <c r="A77" t="str">
        <f t="shared" si="1"/>
        <v/>
      </c>
      <c r="D77" s="5"/>
    </row>
    <row r="78" spans="1:4">
      <c r="A78" t="str">
        <f t="shared" si="1"/>
        <v/>
      </c>
      <c r="D78" s="5"/>
    </row>
    <row r="79" spans="1:4">
      <c r="A79" t="str">
        <f t="shared" si="1"/>
        <v/>
      </c>
      <c r="D79" s="5"/>
    </row>
    <row r="80" spans="1:4">
      <c r="A80" t="str">
        <f t="shared" si="1"/>
        <v/>
      </c>
      <c r="D80" s="5"/>
    </row>
    <row r="81" spans="1:4">
      <c r="A81" t="str">
        <f t="shared" si="1"/>
        <v/>
      </c>
      <c r="D81" s="5"/>
    </row>
    <row r="82" spans="1:4">
      <c r="A82" t="str">
        <f t="shared" si="1"/>
        <v/>
      </c>
      <c r="D82" s="5"/>
    </row>
    <row r="83" spans="1:4">
      <c r="A83" t="str">
        <f t="shared" si="1"/>
        <v/>
      </c>
      <c r="D83" s="5"/>
    </row>
    <row r="84" spans="1:4">
      <c r="A84" t="str">
        <f t="shared" si="1"/>
        <v/>
      </c>
      <c r="D84" s="5"/>
    </row>
    <row r="85" spans="1:4">
      <c r="A85" t="str">
        <f t="shared" si="1"/>
        <v/>
      </c>
      <c r="D85" s="5"/>
    </row>
    <row r="86" spans="1:4">
      <c r="A86" t="str">
        <f t="shared" si="1"/>
        <v/>
      </c>
      <c r="D86" s="5"/>
    </row>
    <row r="87" spans="1:4">
      <c r="A87" t="str">
        <f t="shared" si="1"/>
        <v/>
      </c>
      <c r="D87" s="5"/>
    </row>
    <row r="88" spans="1:4">
      <c r="A88" t="str">
        <f t="shared" si="1"/>
        <v/>
      </c>
      <c r="D88" s="5"/>
    </row>
    <row r="89" spans="1:4">
      <c r="A89" t="str">
        <f t="shared" si="1"/>
        <v/>
      </c>
      <c r="D89" s="5"/>
    </row>
    <row r="90" spans="1:4">
      <c r="A90" t="str">
        <f t="shared" si="1"/>
        <v/>
      </c>
      <c r="D90" s="5"/>
    </row>
    <row r="91" spans="1:4">
      <c r="A91" t="str">
        <f t="shared" si="1"/>
        <v/>
      </c>
      <c r="D91" s="5"/>
    </row>
    <row r="92" spans="1:4">
      <c r="A92" t="str">
        <f t="shared" si="1"/>
        <v/>
      </c>
      <c r="D92" s="5"/>
    </row>
    <row r="93" spans="1:4">
      <c r="A93" t="str">
        <f t="shared" si="1"/>
        <v/>
      </c>
      <c r="D93" s="5"/>
    </row>
    <row r="94" spans="1:4">
      <c r="A94" t="str">
        <f t="shared" si="1"/>
        <v/>
      </c>
      <c r="D94" s="5"/>
    </row>
    <row r="95" spans="1:4">
      <c r="A95" t="str">
        <f t="shared" si="1"/>
        <v/>
      </c>
      <c r="D95" s="5"/>
    </row>
    <row r="96" spans="1:4">
      <c r="A96" t="str">
        <f t="shared" si="1"/>
        <v/>
      </c>
      <c r="D96" s="5"/>
    </row>
    <row r="97" spans="1:4">
      <c r="A97" t="str">
        <f t="shared" si="1"/>
        <v/>
      </c>
      <c r="D97" s="5"/>
    </row>
    <row r="98" spans="1:4">
      <c r="A98" t="str">
        <f t="shared" si="1"/>
        <v/>
      </c>
      <c r="D98" s="5"/>
    </row>
    <row r="99" spans="1:4">
      <c r="A99" t="str">
        <f t="shared" si="1"/>
        <v/>
      </c>
      <c r="D99" s="5"/>
    </row>
    <row r="100" spans="1:4">
      <c r="A100" t="str">
        <f t="shared" si="1"/>
        <v/>
      </c>
      <c r="D100" s="5"/>
    </row>
    <row r="101" spans="1:4">
      <c r="A101" t="str">
        <f t="shared" si="1"/>
        <v/>
      </c>
      <c r="D101" s="5"/>
    </row>
    <row r="102" spans="1:4">
      <c r="A102" t="str">
        <f t="shared" si="1"/>
        <v/>
      </c>
      <c r="D102" s="5"/>
    </row>
    <row r="103" spans="1:4">
      <c r="A103" t="str">
        <f t="shared" si="1"/>
        <v/>
      </c>
      <c r="D103" s="5"/>
    </row>
    <row r="104" spans="1:4">
      <c r="A104" t="str">
        <f t="shared" si="1"/>
        <v/>
      </c>
      <c r="D104" s="5"/>
    </row>
    <row r="105" spans="1:4">
      <c r="A105" t="str">
        <f t="shared" si="1"/>
        <v/>
      </c>
      <c r="D105" s="5"/>
    </row>
    <row r="106" spans="1:4">
      <c r="A106" t="str">
        <f t="shared" si="1"/>
        <v/>
      </c>
      <c r="D106" s="5"/>
    </row>
    <row r="107" spans="1:4">
      <c r="A107" t="str">
        <f t="shared" si="1"/>
        <v/>
      </c>
      <c r="D107" s="5"/>
    </row>
    <row r="108" spans="1:4">
      <c r="A108" t="str">
        <f t="shared" si="1"/>
        <v/>
      </c>
      <c r="D108" s="5"/>
    </row>
    <row r="109" spans="1:4">
      <c r="A109" t="str">
        <f t="shared" si="1"/>
        <v/>
      </c>
      <c r="D109" s="5"/>
    </row>
    <row r="110" spans="1:4">
      <c r="A110" t="str">
        <f t="shared" si="1"/>
        <v/>
      </c>
      <c r="D110" s="5"/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ref="A131:A194" si="2">IF(B131&lt;&gt;"","Client"&amp;ROW()-1,"")</f>
        <v/>
      </c>
    </row>
    <row r="132" spans="1:1">
      <c r="A132" t="str">
        <f t="shared" si="2"/>
        <v/>
      </c>
    </row>
    <row r="133" spans="1:1">
      <c r="A133" t="str">
        <f t="shared" si="2"/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ref="A195:A258" si="3">IF(B195&lt;&gt;"","Client"&amp;ROW()-1,"")</f>
        <v/>
      </c>
    </row>
    <row r="196" spans="1:1">
      <c r="A196" t="str">
        <f t="shared" si="3"/>
        <v/>
      </c>
    </row>
    <row r="197" spans="1:1">
      <c r="A197" t="str">
        <f t="shared" si="3"/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ref="A259:A322" si="4">IF(B259&lt;&gt;"","Client"&amp;ROW()-1,"")</f>
        <v/>
      </c>
    </row>
    <row r="260" spans="1:1">
      <c r="A260" t="str">
        <f t="shared" si="4"/>
        <v/>
      </c>
    </row>
    <row r="261" spans="1:1">
      <c r="A261" t="str">
        <f t="shared" si="4"/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ref="A323:A386" si="5">IF(B323&lt;&gt;"","Client"&amp;ROW()-1,"")</f>
        <v/>
      </c>
    </row>
    <row r="324" spans="1:1">
      <c r="A324" t="str">
        <f t="shared" si="5"/>
        <v/>
      </c>
    </row>
    <row r="325" spans="1:1">
      <c r="A325" t="str">
        <f t="shared" si="5"/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ref="A387:A450" si="6">IF(B387&lt;&gt;"","Client"&amp;ROW()-1,"")</f>
        <v/>
      </c>
    </row>
    <row r="388" spans="1:1">
      <c r="A388" t="str">
        <f t="shared" si="6"/>
        <v/>
      </c>
    </row>
    <row r="389" spans="1:1">
      <c r="A389" t="str">
        <f t="shared" si="6"/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ref="A451:A514" si="7">IF(B451&lt;&gt;"","Client"&amp;ROW()-1,"")</f>
        <v/>
      </c>
    </row>
    <row r="452" spans="1:1">
      <c r="A452" t="str">
        <f t="shared" si="7"/>
        <v/>
      </c>
    </row>
    <row r="453" spans="1:1">
      <c r="A453" t="str">
        <f t="shared" si="7"/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  <row r="501" spans="1:1">
      <c r="A501" t="str">
        <f t="shared" si="7"/>
        <v/>
      </c>
    </row>
    <row r="502" spans="1:1">
      <c r="A502" t="str">
        <f t="shared" si="7"/>
        <v/>
      </c>
    </row>
    <row r="503" spans="1:1">
      <c r="A503" t="str">
        <f t="shared" si="7"/>
        <v/>
      </c>
    </row>
    <row r="504" spans="1:1">
      <c r="A504" t="str">
        <f t="shared" si="7"/>
        <v/>
      </c>
    </row>
    <row r="505" spans="1:1">
      <c r="A505" t="str">
        <f t="shared" si="7"/>
        <v/>
      </c>
    </row>
    <row r="506" spans="1:1">
      <c r="A506" t="str">
        <f t="shared" si="7"/>
        <v/>
      </c>
    </row>
    <row r="507" spans="1:1">
      <c r="A507" t="str">
        <f t="shared" si="7"/>
        <v/>
      </c>
    </row>
    <row r="508" spans="1:1">
      <c r="A508" t="str">
        <f t="shared" si="7"/>
        <v/>
      </c>
    </row>
    <row r="509" spans="1:1">
      <c r="A509" t="str">
        <f t="shared" si="7"/>
        <v/>
      </c>
    </row>
    <row r="510" spans="1:1">
      <c r="A510" t="str">
        <f t="shared" si="7"/>
        <v/>
      </c>
    </row>
    <row r="511" spans="1:1">
      <c r="A511" t="str">
        <f t="shared" si="7"/>
        <v/>
      </c>
    </row>
    <row r="512" spans="1:1">
      <c r="A512" t="str">
        <f t="shared" si="7"/>
        <v/>
      </c>
    </row>
    <row r="513" spans="1:1">
      <c r="A513" t="str">
        <f t="shared" si="7"/>
        <v/>
      </c>
    </row>
    <row r="514" spans="1:1">
      <c r="A514" t="str">
        <f t="shared" si="7"/>
        <v/>
      </c>
    </row>
    <row r="515" spans="1:1">
      <c r="A515" t="str">
        <f t="shared" ref="A515:A578" si="8">IF(B515&lt;&gt;"","Client"&amp;ROW()-1,"")</f>
        <v/>
      </c>
    </row>
    <row r="516" spans="1:1">
      <c r="A516" t="str">
        <f t="shared" si="8"/>
        <v/>
      </c>
    </row>
    <row r="517" spans="1:1">
      <c r="A517" t="str">
        <f t="shared" si="8"/>
        <v/>
      </c>
    </row>
    <row r="518" spans="1:1">
      <c r="A518" t="str">
        <f t="shared" si="8"/>
        <v/>
      </c>
    </row>
    <row r="519" spans="1:1">
      <c r="A519" t="str">
        <f t="shared" si="8"/>
        <v/>
      </c>
    </row>
    <row r="520" spans="1:1">
      <c r="A520" t="str">
        <f t="shared" si="8"/>
        <v/>
      </c>
    </row>
    <row r="521" spans="1:1">
      <c r="A521" t="str">
        <f t="shared" si="8"/>
        <v/>
      </c>
    </row>
    <row r="522" spans="1:1">
      <c r="A522" t="str">
        <f t="shared" si="8"/>
        <v/>
      </c>
    </row>
    <row r="523" spans="1:1">
      <c r="A523" t="str">
        <f t="shared" si="8"/>
        <v/>
      </c>
    </row>
    <row r="524" spans="1:1">
      <c r="A524" t="str">
        <f t="shared" si="8"/>
        <v/>
      </c>
    </row>
    <row r="525" spans="1:1">
      <c r="A525" t="str">
        <f t="shared" si="8"/>
        <v/>
      </c>
    </row>
    <row r="526" spans="1:1">
      <c r="A526" t="str">
        <f t="shared" si="8"/>
        <v/>
      </c>
    </row>
    <row r="527" spans="1:1">
      <c r="A527" t="str">
        <f t="shared" si="8"/>
        <v/>
      </c>
    </row>
    <row r="528" spans="1:1">
      <c r="A528" t="str">
        <f t="shared" si="8"/>
        <v/>
      </c>
    </row>
    <row r="529" spans="1:1">
      <c r="A529" t="str">
        <f t="shared" si="8"/>
        <v/>
      </c>
    </row>
    <row r="530" spans="1:1">
      <c r="A530" t="str">
        <f t="shared" si="8"/>
        <v/>
      </c>
    </row>
    <row r="531" spans="1:1">
      <c r="A531" t="str">
        <f t="shared" si="8"/>
        <v/>
      </c>
    </row>
    <row r="532" spans="1:1">
      <c r="A532" t="str">
        <f t="shared" si="8"/>
        <v/>
      </c>
    </row>
    <row r="533" spans="1:1">
      <c r="A533" t="str">
        <f t="shared" si="8"/>
        <v/>
      </c>
    </row>
    <row r="534" spans="1:1">
      <c r="A534" t="str">
        <f t="shared" si="8"/>
        <v/>
      </c>
    </row>
    <row r="535" spans="1:1">
      <c r="A535" t="str">
        <f t="shared" si="8"/>
        <v/>
      </c>
    </row>
    <row r="536" spans="1:1">
      <c r="A536" t="str">
        <f t="shared" si="8"/>
        <v/>
      </c>
    </row>
    <row r="537" spans="1:1">
      <c r="A537" t="str">
        <f t="shared" si="8"/>
        <v/>
      </c>
    </row>
    <row r="538" spans="1:1">
      <c r="A538" t="str">
        <f t="shared" si="8"/>
        <v/>
      </c>
    </row>
    <row r="539" spans="1:1">
      <c r="A539" t="str">
        <f t="shared" si="8"/>
        <v/>
      </c>
    </row>
    <row r="540" spans="1:1">
      <c r="A540" t="str">
        <f t="shared" si="8"/>
        <v/>
      </c>
    </row>
    <row r="541" spans="1:1">
      <c r="A541" t="str">
        <f t="shared" si="8"/>
        <v/>
      </c>
    </row>
    <row r="542" spans="1:1">
      <c r="A542" t="str">
        <f t="shared" si="8"/>
        <v/>
      </c>
    </row>
    <row r="543" spans="1:1">
      <c r="A543" t="str">
        <f t="shared" si="8"/>
        <v/>
      </c>
    </row>
    <row r="544" spans="1:1">
      <c r="A544" t="str">
        <f t="shared" si="8"/>
        <v/>
      </c>
    </row>
    <row r="545" spans="1:1">
      <c r="A545" t="str">
        <f t="shared" si="8"/>
        <v/>
      </c>
    </row>
    <row r="546" spans="1:1">
      <c r="A546" t="str">
        <f t="shared" si="8"/>
        <v/>
      </c>
    </row>
    <row r="547" spans="1:1">
      <c r="A547" t="str">
        <f t="shared" si="8"/>
        <v/>
      </c>
    </row>
    <row r="548" spans="1:1">
      <c r="A548" t="str">
        <f t="shared" si="8"/>
        <v/>
      </c>
    </row>
    <row r="549" spans="1:1">
      <c r="A549" t="str">
        <f t="shared" si="8"/>
        <v/>
      </c>
    </row>
    <row r="550" spans="1:1">
      <c r="A550" t="str">
        <f t="shared" si="8"/>
        <v/>
      </c>
    </row>
    <row r="551" spans="1:1">
      <c r="A551" t="str">
        <f t="shared" si="8"/>
        <v/>
      </c>
    </row>
    <row r="552" spans="1:1">
      <c r="A552" t="str">
        <f t="shared" si="8"/>
        <v/>
      </c>
    </row>
    <row r="553" spans="1:1">
      <c r="A553" t="str">
        <f t="shared" si="8"/>
        <v/>
      </c>
    </row>
    <row r="554" spans="1:1">
      <c r="A554" t="str">
        <f t="shared" si="8"/>
        <v/>
      </c>
    </row>
    <row r="555" spans="1:1">
      <c r="A555" t="str">
        <f t="shared" si="8"/>
        <v/>
      </c>
    </row>
    <row r="556" spans="1:1">
      <c r="A556" t="str">
        <f t="shared" si="8"/>
        <v/>
      </c>
    </row>
    <row r="557" spans="1:1">
      <c r="A557" t="str">
        <f t="shared" si="8"/>
        <v/>
      </c>
    </row>
    <row r="558" spans="1:1">
      <c r="A558" t="str">
        <f t="shared" si="8"/>
        <v/>
      </c>
    </row>
    <row r="559" spans="1:1">
      <c r="A559" t="str">
        <f t="shared" si="8"/>
        <v/>
      </c>
    </row>
    <row r="560" spans="1:1">
      <c r="A560" t="str">
        <f t="shared" si="8"/>
        <v/>
      </c>
    </row>
    <row r="561" spans="1:1">
      <c r="A561" t="str">
        <f t="shared" si="8"/>
        <v/>
      </c>
    </row>
    <row r="562" spans="1:1">
      <c r="A562" t="str">
        <f t="shared" si="8"/>
        <v/>
      </c>
    </row>
    <row r="563" spans="1:1">
      <c r="A563" t="str">
        <f t="shared" si="8"/>
        <v/>
      </c>
    </row>
    <row r="564" spans="1:1">
      <c r="A564" t="str">
        <f t="shared" si="8"/>
        <v/>
      </c>
    </row>
    <row r="565" spans="1:1">
      <c r="A565" t="str">
        <f t="shared" si="8"/>
        <v/>
      </c>
    </row>
    <row r="566" spans="1:1">
      <c r="A566" t="str">
        <f t="shared" si="8"/>
        <v/>
      </c>
    </row>
    <row r="567" spans="1:1">
      <c r="A567" t="str">
        <f t="shared" si="8"/>
        <v/>
      </c>
    </row>
    <row r="568" spans="1:1">
      <c r="A568" t="str">
        <f t="shared" si="8"/>
        <v/>
      </c>
    </row>
    <row r="569" spans="1:1">
      <c r="A569" t="str">
        <f t="shared" si="8"/>
        <v/>
      </c>
    </row>
    <row r="570" spans="1:1">
      <c r="A570" t="str">
        <f t="shared" si="8"/>
        <v/>
      </c>
    </row>
    <row r="571" spans="1:1">
      <c r="A571" t="str">
        <f t="shared" si="8"/>
        <v/>
      </c>
    </row>
    <row r="572" spans="1:1">
      <c r="A572" t="str">
        <f t="shared" si="8"/>
        <v/>
      </c>
    </row>
    <row r="573" spans="1:1">
      <c r="A573" t="str">
        <f t="shared" si="8"/>
        <v/>
      </c>
    </row>
    <row r="574" spans="1:1">
      <c r="A574" t="str">
        <f t="shared" si="8"/>
        <v/>
      </c>
    </row>
    <row r="575" spans="1:1">
      <c r="A575" t="str">
        <f t="shared" si="8"/>
        <v/>
      </c>
    </row>
    <row r="576" spans="1:1">
      <c r="A576" t="str">
        <f t="shared" si="8"/>
        <v/>
      </c>
    </row>
    <row r="577" spans="1:1">
      <c r="A577" t="str">
        <f t="shared" si="8"/>
        <v/>
      </c>
    </row>
    <row r="578" spans="1:1">
      <c r="A578" t="str">
        <f t="shared" si="8"/>
        <v/>
      </c>
    </row>
    <row r="579" spans="1:1">
      <c r="A579" t="str">
        <f t="shared" ref="A579:A642" si="9">IF(B579&lt;&gt;"","Client"&amp;ROW()-1,"")</f>
        <v/>
      </c>
    </row>
    <row r="580" spans="1:1">
      <c r="A580" t="str">
        <f t="shared" si="9"/>
        <v/>
      </c>
    </row>
    <row r="581" spans="1:1">
      <c r="A581" t="str">
        <f t="shared" si="9"/>
        <v/>
      </c>
    </row>
    <row r="582" spans="1:1">
      <c r="A582" t="str">
        <f t="shared" si="9"/>
        <v/>
      </c>
    </row>
    <row r="583" spans="1:1">
      <c r="A583" t="str">
        <f t="shared" si="9"/>
        <v/>
      </c>
    </row>
    <row r="584" spans="1:1">
      <c r="A584" t="str">
        <f t="shared" si="9"/>
        <v/>
      </c>
    </row>
    <row r="585" spans="1:1">
      <c r="A585" t="str">
        <f t="shared" si="9"/>
        <v/>
      </c>
    </row>
    <row r="586" spans="1:1">
      <c r="A586" t="str">
        <f t="shared" si="9"/>
        <v/>
      </c>
    </row>
    <row r="587" spans="1:1">
      <c r="A587" t="str">
        <f t="shared" si="9"/>
        <v/>
      </c>
    </row>
    <row r="588" spans="1:1">
      <c r="A588" t="str">
        <f t="shared" si="9"/>
        <v/>
      </c>
    </row>
    <row r="589" spans="1:1">
      <c r="A589" t="str">
        <f t="shared" si="9"/>
        <v/>
      </c>
    </row>
    <row r="590" spans="1:1">
      <c r="A590" t="str">
        <f t="shared" si="9"/>
        <v/>
      </c>
    </row>
    <row r="591" spans="1:1">
      <c r="A591" t="str">
        <f t="shared" si="9"/>
        <v/>
      </c>
    </row>
    <row r="592" spans="1:1">
      <c r="A592" t="str">
        <f t="shared" si="9"/>
        <v/>
      </c>
    </row>
    <row r="593" spans="1:1">
      <c r="A593" t="str">
        <f t="shared" si="9"/>
        <v/>
      </c>
    </row>
    <row r="594" spans="1:1">
      <c r="A594" t="str">
        <f t="shared" si="9"/>
        <v/>
      </c>
    </row>
    <row r="595" spans="1:1">
      <c r="A595" t="str">
        <f t="shared" si="9"/>
        <v/>
      </c>
    </row>
    <row r="596" spans="1:1">
      <c r="A596" t="str">
        <f t="shared" si="9"/>
        <v/>
      </c>
    </row>
    <row r="597" spans="1:1">
      <c r="A597" t="str">
        <f t="shared" si="9"/>
        <v/>
      </c>
    </row>
    <row r="598" spans="1:1">
      <c r="A598" t="str">
        <f t="shared" si="9"/>
        <v/>
      </c>
    </row>
    <row r="599" spans="1:1">
      <c r="A599" t="str">
        <f t="shared" si="9"/>
        <v/>
      </c>
    </row>
    <row r="600" spans="1:1">
      <c r="A600" t="str">
        <f t="shared" si="9"/>
        <v/>
      </c>
    </row>
    <row r="601" spans="1:1">
      <c r="A601" t="str">
        <f t="shared" si="9"/>
        <v/>
      </c>
    </row>
    <row r="602" spans="1:1">
      <c r="A602" t="str">
        <f t="shared" si="9"/>
        <v/>
      </c>
    </row>
    <row r="603" spans="1:1">
      <c r="A603" t="str">
        <f t="shared" si="9"/>
        <v/>
      </c>
    </row>
    <row r="604" spans="1:1">
      <c r="A604" t="str">
        <f t="shared" si="9"/>
        <v/>
      </c>
    </row>
    <row r="605" spans="1:1">
      <c r="A605" t="str">
        <f t="shared" si="9"/>
        <v/>
      </c>
    </row>
    <row r="606" spans="1:1">
      <c r="A606" t="str">
        <f t="shared" si="9"/>
        <v/>
      </c>
    </row>
    <row r="607" spans="1:1">
      <c r="A607" t="str">
        <f t="shared" si="9"/>
        <v/>
      </c>
    </row>
    <row r="608" spans="1:1">
      <c r="A608" t="str">
        <f t="shared" si="9"/>
        <v/>
      </c>
    </row>
    <row r="609" spans="1:1">
      <c r="A609" t="str">
        <f t="shared" si="9"/>
        <v/>
      </c>
    </row>
    <row r="610" spans="1:1">
      <c r="A610" t="str">
        <f t="shared" si="9"/>
        <v/>
      </c>
    </row>
    <row r="611" spans="1:1">
      <c r="A611" t="str">
        <f t="shared" si="9"/>
        <v/>
      </c>
    </row>
    <row r="612" spans="1:1">
      <c r="A612" t="str">
        <f t="shared" si="9"/>
        <v/>
      </c>
    </row>
    <row r="613" spans="1:1">
      <c r="A613" t="str">
        <f t="shared" si="9"/>
        <v/>
      </c>
    </row>
    <row r="614" spans="1:1">
      <c r="A614" t="str">
        <f t="shared" si="9"/>
        <v/>
      </c>
    </row>
    <row r="615" spans="1:1">
      <c r="A615" t="str">
        <f t="shared" si="9"/>
        <v/>
      </c>
    </row>
    <row r="616" spans="1:1">
      <c r="A616" t="str">
        <f t="shared" si="9"/>
        <v/>
      </c>
    </row>
    <row r="617" spans="1:1">
      <c r="A617" t="str">
        <f t="shared" si="9"/>
        <v/>
      </c>
    </row>
    <row r="618" spans="1:1">
      <c r="A618" t="str">
        <f t="shared" si="9"/>
        <v/>
      </c>
    </row>
    <row r="619" spans="1:1">
      <c r="A619" t="str">
        <f t="shared" si="9"/>
        <v/>
      </c>
    </row>
    <row r="620" spans="1:1">
      <c r="A620" t="str">
        <f t="shared" si="9"/>
        <v/>
      </c>
    </row>
    <row r="621" spans="1:1">
      <c r="A621" t="str">
        <f t="shared" si="9"/>
        <v/>
      </c>
    </row>
    <row r="622" spans="1:1">
      <c r="A622" t="str">
        <f t="shared" si="9"/>
        <v/>
      </c>
    </row>
    <row r="623" spans="1:1">
      <c r="A623" t="str">
        <f t="shared" si="9"/>
        <v/>
      </c>
    </row>
    <row r="624" spans="1:1">
      <c r="A624" t="str">
        <f t="shared" si="9"/>
        <v/>
      </c>
    </row>
    <row r="625" spans="1:1">
      <c r="A625" t="str">
        <f t="shared" si="9"/>
        <v/>
      </c>
    </row>
    <row r="626" spans="1:1">
      <c r="A626" t="str">
        <f t="shared" si="9"/>
        <v/>
      </c>
    </row>
    <row r="627" spans="1:1">
      <c r="A627" t="str">
        <f t="shared" si="9"/>
        <v/>
      </c>
    </row>
    <row r="628" spans="1:1">
      <c r="A628" t="str">
        <f t="shared" si="9"/>
        <v/>
      </c>
    </row>
    <row r="629" spans="1:1">
      <c r="A629" t="str">
        <f t="shared" si="9"/>
        <v/>
      </c>
    </row>
    <row r="630" spans="1:1">
      <c r="A630" t="str">
        <f t="shared" si="9"/>
        <v/>
      </c>
    </row>
    <row r="631" spans="1:1">
      <c r="A631" t="str">
        <f t="shared" si="9"/>
        <v/>
      </c>
    </row>
    <row r="632" spans="1:1">
      <c r="A632" t="str">
        <f t="shared" si="9"/>
        <v/>
      </c>
    </row>
    <row r="633" spans="1:1">
      <c r="A633" t="str">
        <f t="shared" si="9"/>
        <v/>
      </c>
    </row>
    <row r="634" spans="1:1">
      <c r="A634" t="str">
        <f t="shared" si="9"/>
        <v/>
      </c>
    </row>
    <row r="635" spans="1:1">
      <c r="A635" t="str">
        <f t="shared" si="9"/>
        <v/>
      </c>
    </row>
    <row r="636" spans="1:1">
      <c r="A636" t="str">
        <f t="shared" si="9"/>
        <v/>
      </c>
    </row>
    <row r="637" spans="1:1">
      <c r="A637" t="str">
        <f t="shared" si="9"/>
        <v/>
      </c>
    </row>
    <row r="638" spans="1:1">
      <c r="A638" t="str">
        <f t="shared" si="9"/>
        <v/>
      </c>
    </row>
    <row r="639" spans="1:1">
      <c r="A639" t="str">
        <f t="shared" si="9"/>
        <v/>
      </c>
    </row>
    <row r="640" spans="1:1">
      <c r="A640" t="str">
        <f t="shared" si="9"/>
        <v/>
      </c>
    </row>
    <row r="641" spans="1:1">
      <c r="A641" t="str">
        <f t="shared" si="9"/>
        <v/>
      </c>
    </row>
    <row r="642" spans="1:1">
      <c r="A642" t="str">
        <f t="shared" si="9"/>
        <v/>
      </c>
    </row>
    <row r="643" spans="1:1">
      <c r="A643" t="str">
        <f t="shared" ref="A643:A706" si="10">IF(B643&lt;&gt;"","Client"&amp;ROW()-1,"")</f>
        <v/>
      </c>
    </row>
    <row r="644" spans="1:1">
      <c r="A644" t="str">
        <f t="shared" si="10"/>
        <v/>
      </c>
    </row>
    <row r="645" spans="1:1">
      <c r="A645" t="str">
        <f t="shared" si="10"/>
        <v/>
      </c>
    </row>
    <row r="646" spans="1:1">
      <c r="A646" t="str">
        <f t="shared" si="10"/>
        <v/>
      </c>
    </row>
    <row r="647" spans="1:1">
      <c r="A647" t="str">
        <f t="shared" si="10"/>
        <v/>
      </c>
    </row>
    <row r="648" spans="1:1">
      <c r="A648" t="str">
        <f t="shared" si="10"/>
        <v/>
      </c>
    </row>
    <row r="649" spans="1:1">
      <c r="A649" t="str">
        <f t="shared" si="10"/>
        <v/>
      </c>
    </row>
    <row r="650" spans="1:1">
      <c r="A650" t="str">
        <f t="shared" si="10"/>
        <v/>
      </c>
    </row>
    <row r="651" spans="1:1">
      <c r="A651" t="str">
        <f t="shared" si="10"/>
        <v/>
      </c>
    </row>
    <row r="652" spans="1:1">
      <c r="A652" t="str">
        <f t="shared" si="10"/>
        <v/>
      </c>
    </row>
    <row r="653" spans="1:1">
      <c r="A653" t="str">
        <f t="shared" si="10"/>
        <v/>
      </c>
    </row>
    <row r="654" spans="1:1">
      <c r="A654" t="str">
        <f t="shared" si="10"/>
        <v/>
      </c>
    </row>
    <row r="655" spans="1:1">
      <c r="A655" t="str">
        <f t="shared" si="10"/>
        <v/>
      </c>
    </row>
    <row r="656" spans="1:1">
      <c r="A656" t="str">
        <f t="shared" si="10"/>
        <v/>
      </c>
    </row>
    <row r="657" spans="1:1">
      <c r="A657" t="str">
        <f t="shared" si="10"/>
        <v/>
      </c>
    </row>
    <row r="658" spans="1:1">
      <c r="A658" t="str">
        <f t="shared" si="10"/>
        <v/>
      </c>
    </row>
    <row r="659" spans="1:1">
      <c r="A659" t="str">
        <f t="shared" si="10"/>
        <v/>
      </c>
    </row>
    <row r="660" spans="1:1">
      <c r="A660" t="str">
        <f t="shared" si="10"/>
        <v/>
      </c>
    </row>
    <row r="661" spans="1:1">
      <c r="A661" t="str">
        <f t="shared" si="10"/>
        <v/>
      </c>
    </row>
    <row r="662" spans="1:1">
      <c r="A662" t="str">
        <f t="shared" si="10"/>
        <v/>
      </c>
    </row>
    <row r="663" spans="1:1">
      <c r="A663" t="str">
        <f t="shared" si="10"/>
        <v/>
      </c>
    </row>
    <row r="664" spans="1:1">
      <c r="A664" t="str">
        <f t="shared" si="10"/>
        <v/>
      </c>
    </row>
    <row r="665" spans="1:1">
      <c r="A665" t="str">
        <f t="shared" si="10"/>
        <v/>
      </c>
    </row>
    <row r="666" spans="1:1">
      <c r="A666" t="str">
        <f t="shared" si="10"/>
        <v/>
      </c>
    </row>
    <row r="667" spans="1:1">
      <c r="A667" t="str">
        <f t="shared" si="10"/>
        <v/>
      </c>
    </row>
    <row r="668" spans="1:1">
      <c r="A668" t="str">
        <f t="shared" si="10"/>
        <v/>
      </c>
    </row>
    <row r="669" spans="1:1">
      <c r="A669" t="str">
        <f t="shared" si="10"/>
        <v/>
      </c>
    </row>
    <row r="670" spans="1:1">
      <c r="A670" t="str">
        <f t="shared" si="10"/>
        <v/>
      </c>
    </row>
    <row r="671" spans="1:1">
      <c r="A671" t="str">
        <f t="shared" si="10"/>
        <v/>
      </c>
    </row>
    <row r="672" spans="1:1">
      <c r="A672" t="str">
        <f t="shared" si="10"/>
        <v/>
      </c>
    </row>
    <row r="673" spans="1:1">
      <c r="A673" t="str">
        <f t="shared" si="10"/>
        <v/>
      </c>
    </row>
    <row r="674" spans="1:1">
      <c r="A674" t="str">
        <f t="shared" si="10"/>
        <v/>
      </c>
    </row>
    <row r="675" spans="1:1">
      <c r="A675" t="str">
        <f t="shared" si="10"/>
        <v/>
      </c>
    </row>
    <row r="676" spans="1:1">
      <c r="A676" t="str">
        <f t="shared" si="10"/>
        <v/>
      </c>
    </row>
    <row r="677" spans="1:1">
      <c r="A677" t="str">
        <f t="shared" si="10"/>
        <v/>
      </c>
    </row>
    <row r="678" spans="1:1">
      <c r="A678" t="str">
        <f t="shared" si="10"/>
        <v/>
      </c>
    </row>
    <row r="679" spans="1:1">
      <c r="A679" t="str">
        <f t="shared" si="10"/>
        <v/>
      </c>
    </row>
    <row r="680" spans="1:1">
      <c r="A680" t="str">
        <f t="shared" si="10"/>
        <v/>
      </c>
    </row>
    <row r="681" spans="1:1">
      <c r="A681" t="str">
        <f t="shared" si="10"/>
        <v/>
      </c>
    </row>
    <row r="682" spans="1:1">
      <c r="A682" t="str">
        <f t="shared" si="10"/>
        <v/>
      </c>
    </row>
    <row r="683" spans="1:1">
      <c r="A683" t="str">
        <f t="shared" si="10"/>
        <v/>
      </c>
    </row>
    <row r="684" spans="1:1">
      <c r="A684" t="str">
        <f t="shared" si="10"/>
        <v/>
      </c>
    </row>
    <row r="685" spans="1:1">
      <c r="A685" t="str">
        <f t="shared" si="10"/>
        <v/>
      </c>
    </row>
    <row r="686" spans="1:1">
      <c r="A686" t="str">
        <f t="shared" si="10"/>
        <v/>
      </c>
    </row>
    <row r="687" spans="1:1">
      <c r="A687" t="str">
        <f t="shared" si="10"/>
        <v/>
      </c>
    </row>
    <row r="688" spans="1:1">
      <c r="A688" t="str">
        <f t="shared" si="10"/>
        <v/>
      </c>
    </row>
    <row r="689" spans="1:1">
      <c r="A689" t="str">
        <f t="shared" si="10"/>
        <v/>
      </c>
    </row>
    <row r="690" spans="1:1">
      <c r="A690" t="str">
        <f t="shared" si="10"/>
        <v/>
      </c>
    </row>
    <row r="691" spans="1:1">
      <c r="A691" t="str">
        <f t="shared" si="10"/>
        <v/>
      </c>
    </row>
    <row r="692" spans="1:1">
      <c r="A692" t="str">
        <f t="shared" si="10"/>
        <v/>
      </c>
    </row>
    <row r="693" spans="1:1">
      <c r="A693" t="str">
        <f t="shared" si="10"/>
        <v/>
      </c>
    </row>
    <row r="694" spans="1:1">
      <c r="A694" t="str">
        <f t="shared" si="10"/>
        <v/>
      </c>
    </row>
    <row r="695" spans="1:1">
      <c r="A695" t="str">
        <f t="shared" si="10"/>
        <v/>
      </c>
    </row>
    <row r="696" spans="1:1">
      <c r="A696" t="str">
        <f t="shared" si="10"/>
        <v/>
      </c>
    </row>
    <row r="697" spans="1:1">
      <c r="A697" t="str">
        <f t="shared" si="10"/>
        <v/>
      </c>
    </row>
    <row r="698" spans="1:1">
      <c r="A698" t="str">
        <f t="shared" si="10"/>
        <v/>
      </c>
    </row>
    <row r="699" spans="1:1">
      <c r="A699" t="str">
        <f t="shared" si="10"/>
        <v/>
      </c>
    </row>
    <row r="700" spans="1:1">
      <c r="A700" t="str">
        <f t="shared" si="10"/>
        <v/>
      </c>
    </row>
    <row r="701" spans="1:1">
      <c r="A701" t="str">
        <f t="shared" si="10"/>
        <v/>
      </c>
    </row>
    <row r="702" spans="1:1">
      <c r="A702" t="str">
        <f t="shared" si="10"/>
        <v/>
      </c>
    </row>
    <row r="703" spans="1:1">
      <c r="A703" t="str">
        <f t="shared" si="10"/>
        <v/>
      </c>
    </row>
    <row r="704" spans="1:1">
      <c r="A704" t="str">
        <f t="shared" si="10"/>
        <v/>
      </c>
    </row>
    <row r="705" spans="1:1">
      <c r="A705" t="str">
        <f t="shared" si="10"/>
        <v/>
      </c>
    </row>
    <row r="706" spans="1:1">
      <c r="A706" t="str">
        <f t="shared" si="10"/>
        <v/>
      </c>
    </row>
    <row r="707" spans="1:1">
      <c r="A707" t="str">
        <f t="shared" ref="A707:A770" si="11">IF(B707&lt;&gt;"","Client"&amp;ROW()-1,"")</f>
        <v/>
      </c>
    </row>
    <row r="708" spans="1:1">
      <c r="A708" t="str">
        <f t="shared" si="11"/>
        <v/>
      </c>
    </row>
    <row r="709" spans="1:1">
      <c r="A709" t="str">
        <f t="shared" si="11"/>
        <v/>
      </c>
    </row>
    <row r="710" spans="1:1">
      <c r="A710" t="str">
        <f t="shared" si="11"/>
        <v/>
      </c>
    </row>
    <row r="711" spans="1:1">
      <c r="A711" t="str">
        <f t="shared" si="11"/>
        <v/>
      </c>
    </row>
    <row r="712" spans="1:1">
      <c r="A712" t="str">
        <f t="shared" si="11"/>
        <v/>
      </c>
    </row>
    <row r="713" spans="1:1">
      <c r="A713" t="str">
        <f t="shared" si="11"/>
        <v/>
      </c>
    </row>
    <row r="714" spans="1:1">
      <c r="A714" t="str">
        <f t="shared" si="11"/>
        <v/>
      </c>
    </row>
    <row r="715" spans="1:1">
      <c r="A715" t="str">
        <f t="shared" si="11"/>
        <v/>
      </c>
    </row>
    <row r="716" spans="1:1">
      <c r="A716" t="str">
        <f t="shared" si="11"/>
        <v/>
      </c>
    </row>
    <row r="717" spans="1:1">
      <c r="A717" t="str">
        <f t="shared" si="11"/>
        <v/>
      </c>
    </row>
    <row r="718" spans="1:1">
      <c r="A718" t="str">
        <f t="shared" si="11"/>
        <v/>
      </c>
    </row>
    <row r="719" spans="1:1">
      <c r="A719" t="str">
        <f t="shared" si="11"/>
        <v/>
      </c>
    </row>
    <row r="720" spans="1:1">
      <c r="A720" t="str">
        <f t="shared" si="11"/>
        <v/>
      </c>
    </row>
    <row r="721" spans="1:1">
      <c r="A721" t="str">
        <f t="shared" si="11"/>
        <v/>
      </c>
    </row>
    <row r="722" spans="1:1">
      <c r="A722" t="str">
        <f t="shared" si="11"/>
        <v/>
      </c>
    </row>
    <row r="723" spans="1:1">
      <c r="A723" t="str">
        <f t="shared" si="11"/>
        <v/>
      </c>
    </row>
    <row r="724" spans="1:1">
      <c r="A724" t="str">
        <f t="shared" si="11"/>
        <v/>
      </c>
    </row>
    <row r="725" spans="1:1">
      <c r="A725" t="str">
        <f t="shared" si="11"/>
        <v/>
      </c>
    </row>
    <row r="726" spans="1:1">
      <c r="A726" t="str">
        <f t="shared" si="11"/>
        <v/>
      </c>
    </row>
    <row r="727" spans="1:1">
      <c r="A727" t="str">
        <f t="shared" si="11"/>
        <v/>
      </c>
    </row>
    <row r="728" spans="1:1">
      <c r="A728" t="str">
        <f t="shared" si="11"/>
        <v/>
      </c>
    </row>
    <row r="729" spans="1:1">
      <c r="A729" t="str">
        <f t="shared" si="11"/>
        <v/>
      </c>
    </row>
    <row r="730" spans="1:1">
      <c r="A730" t="str">
        <f t="shared" si="11"/>
        <v/>
      </c>
    </row>
    <row r="731" spans="1:1">
      <c r="A731" t="str">
        <f t="shared" si="11"/>
        <v/>
      </c>
    </row>
    <row r="732" spans="1:1">
      <c r="A732" t="str">
        <f t="shared" si="11"/>
        <v/>
      </c>
    </row>
    <row r="733" spans="1:1">
      <c r="A733" t="str">
        <f t="shared" si="11"/>
        <v/>
      </c>
    </row>
    <row r="734" spans="1:1">
      <c r="A734" t="str">
        <f t="shared" si="11"/>
        <v/>
      </c>
    </row>
    <row r="735" spans="1:1">
      <c r="A735" t="str">
        <f t="shared" si="11"/>
        <v/>
      </c>
    </row>
    <row r="736" spans="1:1">
      <c r="A736" t="str">
        <f t="shared" si="11"/>
        <v/>
      </c>
    </row>
    <row r="737" spans="1:1">
      <c r="A737" t="str">
        <f t="shared" si="11"/>
        <v/>
      </c>
    </row>
    <row r="738" spans="1:1">
      <c r="A738" t="str">
        <f t="shared" si="11"/>
        <v/>
      </c>
    </row>
    <row r="739" spans="1:1">
      <c r="A739" t="str">
        <f t="shared" si="11"/>
        <v/>
      </c>
    </row>
    <row r="740" spans="1:1">
      <c r="A740" t="str">
        <f t="shared" si="11"/>
        <v/>
      </c>
    </row>
    <row r="741" spans="1:1">
      <c r="A741" t="str">
        <f t="shared" si="11"/>
        <v/>
      </c>
    </row>
    <row r="742" spans="1:1">
      <c r="A742" t="str">
        <f t="shared" si="11"/>
        <v/>
      </c>
    </row>
    <row r="743" spans="1:1">
      <c r="A743" t="str">
        <f t="shared" si="11"/>
        <v/>
      </c>
    </row>
    <row r="744" spans="1:1">
      <c r="A744" t="str">
        <f t="shared" si="11"/>
        <v/>
      </c>
    </row>
    <row r="745" spans="1:1">
      <c r="A745" t="str">
        <f t="shared" si="11"/>
        <v/>
      </c>
    </row>
    <row r="746" spans="1:1">
      <c r="A746" t="str">
        <f t="shared" si="11"/>
        <v/>
      </c>
    </row>
    <row r="747" spans="1:1">
      <c r="A747" t="str">
        <f t="shared" si="11"/>
        <v/>
      </c>
    </row>
    <row r="748" spans="1:1">
      <c r="A748" t="str">
        <f t="shared" si="11"/>
        <v/>
      </c>
    </row>
    <row r="749" spans="1:1">
      <c r="A749" t="str">
        <f t="shared" si="11"/>
        <v/>
      </c>
    </row>
    <row r="750" spans="1:1">
      <c r="A750" t="str">
        <f t="shared" si="11"/>
        <v/>
      </c>
    </row>
    <row r="751" spans="1:1">
      <c r="A751" t="str">
        <f t="shared" si="11"/>
        <v/>
      </c>
    </row>
    <row r="752" spans="1:1">
      <c r="A752" t="str">
        <f t="shared" si="11"/>
        <v/>
      </c>
    </row>
    <row r="753" spans="1:1">
      <c r="A753" t="str">
        <f t="shared" si="11"/>
        <v/>
      </c>
    </row>
    <row r="754" spans="1:1">
      <c r="A754" t="str">
        <f t="shared" si="11"/>
        <v/>
      </c>
    </row>
    <row r="755" spans="1:1">
      <c r="A755" t="str">
        <f t="shared" si="11"/>
        <v/>
      </c>
    </row>
    <row r="756" spans="1:1">
      <c r="A756" t="str">
        <f t="shared" si="11"/>
        <v/>
      </c>
    </row>
    <row r="757" spans="1:1">
      <c r="A757" t="str">
        <f t="shared" si="11"/>
        <v/>
      </c>
    </row>
    <row r="758" spans="1:1">
      <c r="A758" t="str">
        <f t="shared" si="11"/>
        <v/>
      </c>
    </row>
    <row r="759" spans="1:1">
      <c r="A759" t="str">
        <f t="shared" si="11"/>
        <v/>
      </c>
    </row>
    <row r="760" spans="1:1">
      <c r="A760" t="str">
        <f t="shared" si="11"/>
        <v/>
      </c>
    </row>
    <row r="761" spans="1:1">
      <c r="A761" t="str">
        <f t="shared" si="11"/>
        <v/>
      </c>
    </row>
    <row r="762" spans="1:1">
      <c r="A762" t="str">
        <f t="shared" si="11"/>
        <v/>
      </c>
    </row>
    <row r="763" spans="1:1">
      <c r="A763" t="str">
        <f t="shared" si="11"/>
        <v/>
      </c>
    </row>
    <row r="764" spans="1:1">
      <c r="A764" t="str">
        <f t="shared" si="11"/>
        <v/>
      </c>
    </row>
    <row r="765" spans="1:1">
      <c r="A765" t="str">
        <f t="shared" si="11"/>
        <v/>
      </c>
    </row>
    <row r="766" spans="1:1">
      <c r="A766" t="str">
        <f t="shared" si="11"/>
        <v/>
      </c>
    </row>
    <row r="767" spans="1:1">
      <c r="A767" t="str">
        <f t="shared" si="11"/>
        <v/>
      </c>
    </row>
    <row r="768" spans="1:1">
      <c r="A768" t="str">
        <f t="shared" si="11"/>
        <v/>
      </c>
    </row>
    <row r="769" spans="1:1">
      <c r="A769" t="str">
        <f t="shared" si="11"/>
        <v/>
      </c>
    </row>
    <row r="770" spans="1:1">
      <c r="A770" t="str">
        <f t="shared" si="11"/>
        <v/>
      </c>
    </row>
    <row r="771" spans="1:1">
      <c r="A771" t="str">
        <f t="shared" ref="A771:A834" si="12">IF(B771&lt;&gt;"","Client"&amp;ROW()-1,"")</f>
        <v/>
      </c>
    </row>
    <row r="772" spans="1:1">
      <c r="A772" t="str">
        <f t="shared" si="12"/>
        <v/>
      </c>
    </row>
    <row r="773" spans="1:1">
      <c r="A773" t="str">
        <f t="shared" si="12"/>
        <v/>
      </c>
    </row>
    <row r="774" spans="1:1">
      <c r="A774" t="str">
        <f t="shared" si="12"/>
        <v/>
      </c>
    </row>
    <row r="775" spans="1:1">
      <c r="A775" t="str">
        <f t="shared" si="12"/>
        <v/>
      </c>
    </row>
    <row r="776" spans="1:1">
      <c r="A776" t="str">
        <f t="shared" si="12"/>
        <v/>
      </c>
    </row>
    <row r="777" spans="1:1">
      <c r="A777" t="str">
        <f t="shared" si="12"/>
        <v/>
      </c>
    </row>
    <row r="778" spans="1:1">
      <c r="A778" t="str">
        <f t="shared" si="12"/>
        <v/>
      </c>
    </row>
    <row r="779" spans="1:1">
      <c r="A779" t="str">
        <f t="shared" si="12"/>
        <v/>
      </c>
    </row>
    <row r="780" spans="1:1">
      <c r="A780" t="str">
        <f t="shared" si="12"/>
        <v/>
      </c>
    </row>
    <row r="781" spans="1:1">
      <c r="A781" t="str">
        <f t="shared" si="12"/>
        <v/>
      </c>
    </row>
    <row r="782" spans="1:1">
      <c r="A782" t="str">
        <f t="shared" si="12"/>
        <v/>
      </c>
    </row>
    <row r="783" spans="1:1">
      <c r="A783" t="str">
        <f t="shared" si="12"/>
        <v/>
      </c>
    </row>
    <row r="784" spans="1:1">
      <c r="A784" t="str">
        <f t="shared" si="12"/>
        <v/>
      </c>
    </row>
    <row r="785" spans="1:1">
      <c r="A785" t="str">
        <f t="shared" si="12"/>
        <v/>
      </c>
    </row>
    <row r="786" spans="1:1">
      <c r="A786" t="str">
        <f t="shared" si="12"/>
        <v/>
      </c>
    </row>
    <row r="787" spans="1:1">
      <c r="A787" t="str">
        <f t="shared" si="12"/>
        <v/>
      </c>
    </row>
    <row r="788" spans="1:1">
      <c r="A788" t="str">
        <f t="shared" si="12"/>
        <v/>
      </c>
    </row>
    <row r="789" spans="1:1">
      <c r="A789" t="str">
        <f t="shared" si="12"/>
        <v/>
      </c>
    </row>
    <row r="790" spans="1:1">
      <c r="A790" t="str">
        <f t="shared" si="12"/>
        <v/>
      </c>
    </row>
    <row r="791" spans="1:1">
      <c r="A791" t="str">
        <f t="shared" si="12"/>
        <v/>
      </c>
    </row>
    <row r="792" spans="1:1">
      <c r="A792" t="str">
        <f t="shared" si="12"/>
        <v/>
      </c>
    </row>
    <row r="793" spans="1:1">
      <c r="A793" t="str">
        <f t="shared" si="12"/>
        <v/>
      </c>
    </row>
    <row r="794" spans="1:1">
      <c r="A794" t="str">
        <f t="shared" si="12"/>
        <v/>
      </c>
    </row>
    <row r="795" spans="1:1">
      <c r="A795" t="str">
        <f t="shared" si="12"/>
        <v/>
      </c>
    </row>
    <row r="796" spans="1:1">
      <c r="A796" t="str">
        <f t="shared" si="12"/>
        <v/>
      </c>
    </row>
    <row r="797" spans="1:1">
      <c r="A797" t="str">
        <f t="shared" si="12"/>
        <v/>
      </c>
    </row>
    <row r="798" spans="1:1">
      <c r="A798" t="str">
        <f t="shared" si="12"/>
        <v/>
      </c>
    </row>
    <row r="799" spans="1:1">
      <c r="A799" t="str">
        <f t="shared" si="12"/>
        <v/>
      </c>
    </row>
    <row r="800" spans="1:1">
      <c r="A800" t="str">
        <f t="shared" si="12"/>
        <v/>
      </c>
    </row>
    <row r="801" spans="1:1">
      <c r="A801" t="str">
        <f t="shared" si="12"/>
        <v/>
      </c>
    </row>
    <row r="802" spans="1:1">
      <c r="A802" t="str">
        <f t="shared" si="12"/>
        <v/>
      </c>
    </row>
    <row r="803" spans="1:1">
      <c r="A803" t="str">
        <f t="shared" si="12"/>
        <v/>
      </c>
    </row>
    <row r="804" spans="1:1">
      <c r="A804" t="str">
        <f t="shared" si="12"/>
        <v/>
      </c>
    </row>
    <row r="805" spans="1:1">
      <c r="A805" t="str">
        <f t="shared" si="12"/>
        <v/>
      </c>
    </row>
    <row r="806" spans="1:1">
      <c r="A806" t="str">
        <f t="shared" si="12"/>
        <v/>
      </c>
    </row>
    <row r="807" spans="1:1">
      <c r="A807" t="str">
        <f t="shared" si="12"/>
        <v/>
      </c>
    </row>
    <row r="808" spans="1:1">
      <c r="A808" t="str">
        <f t="shared" si="12"/>
        <v/>
      </c>
    </row>
    <row r="809" spans="1:1">
      <c r="A809" t="str">
        <f t="shared" si="12"/>
        <v/>
      </c>
    </row>
    <row r="810" spans="1:1">
      <c r="A810" t="str">
        <f t="shared" si="12"/>
        <v/>
      </c>
    </row>
    <row r="811" spans="1:1">
      <c r="A811" t="str">
        <f t="shared" si="12"/>
        <v/>
      </c>
    </row>
    <row r="812" spans="1:1">
      <c r="A812" t="str">
        <f t="shared" si="12"/>
        <v/>
      </c>
    </row>
    <row r="813" spans="1:1">
      <c r="A813" t="str">
        <f t="shared" si="12"/>
        <v/>
      </c>
    </row>
    <row r="814" spans="1:1">
      <c r="A814" t="str">
        <f t="shared" si="12"/>
        <v/>
      </c>
    </row>
    <row r="815" spans="1:1">
      <c r="A815" t="str">
        <f t="shared" si="12"/>
        <v/>
      </c>
    </row>
    <row r="816" spans="1:1">
      <c r="A816" t="str">
        <f t="shared" si="12"/>
        <v/>
      </c>
    </row>
    <row r="817" spans="1:1">
      <c r="A817" t="str">
        <f t="shared" si="12"/>
        <v/>
      </c>
    </row>
    <row r="818" spans="1:1">
      <c r="A818" t="str">
        <f t="shared" si="12"/>
        <v/>
      </c>
    </row>
    <row r="819" spans="1:1">
      <c r="A819" t="str">
        <f t="shared" si="12"/>
        <v/>
      </c>
    </row>
    <row r="820" spans="1:1">
      <c r="A820" t="str">
        <f t="shared" si="12"/>
        <v/>
      </c>
    </row>
    <row r="821" spans="1:1">
      <c r="A821" t="str">
        <f t="shared" si="12"/>
        <v/>
      </c>
    </row>
    <row r="822" spans="1:1">
      <c r="A822" t="str">
        <f t="shared" si="12"/>
        <v/>
      </c>
    </row>
    <row r="823" spans="1:1">
      <c r="A823" t="str">
        <f t="shared" si="12"/>
        <v/>
      </c>
    </row>
    <row r="824" spans="1:1">
      <c r="A824" t="str">
        <f t="shared" si="12"/>
        <v/>
      </c>
    </row>
    <row r="825" spans="1:1">
      <c r="A825" t="str">
        <f t="shared" si="12"/>
        <v/>
      </c>
    </row>
    <row r="826" spans="1:1">
      <c r="A826" t="str">
        <f t="shared" si="12"/>
        <v/>
      </c>
    </row>
    <row r="827" spans="1:1">
      <c r="A827" t="str">
        <f t="shared" si="12"/>
        <v/>
      </c>
    </row>
    <row r="828" spans="1:1">
      <c r="A828" t="str">
        <f t="shared" si="12"/>
        <v/>
      </c>
    </row>
    <row r="829" spans="1:1">
      <c r="A829" t="str">
        <f t="shared" si="12"/>
        <v/>
      </c>
    </row>
    <row r="830" spans="1:1">
      <c r="A830" t="str">
        <f t="shared" si="12"/>
        <v/>
      </c>
    </row>
    <row r="831" spans="1:1">
      <c r="A831" t="str">
        <f t="shared" si="12"/>
        <v/>
      </c>
    </row>
    <row r="832" spans="1:1">
      <c r="A832" t="str">
        <f t="shared" si="12"/>
        <v/>
      </c>
    </row>
    <row r="833" spans="1:1">
      <c r="A833" t="str">
        <f t="shared" si="12"/>
        <v/>
      </c>
    </row>
    <row r="834" spans="1:1">
      <c r="A834" t="str">
        <f t="shared" si="12"/>
        <v/>
      </c>
    </row>
    <row r="835" spans="1:1">
      <c r="A835" t="str">
        <f t="shared" ref="A835:A898" si="13">IF(B835&lt;&gt;"","Client"&amp;ROW()-1,"")</f>
        <v/>
      </c>
    </row>
    <row r="836" spans="1:1">
      <c r="A836" t="str">
        <f t="shared" si="13"/>
        <v/>
      </c>
    </row>
    <row r="837" spans="1:1">
      <c r="A837" t="str">
        <f t="shared" si="13"/>
        <v/>
      </c>
    </row>
    <row r="838" spans="1:1">
      <c r="A838" t="str">
        <f t="shared" si="13"/>
        <v/>
      </c>
    </row>
    <row r="839" spans="1:1">
      <c r="A839" t="str">
        <f t="shared" si="13"/>
        <v/>
      </c>
    </row>
    <row r="840" spans="1:1">
      <c r="A840" t="str">
        <f t="shared" si="13"/>
        <v/>
      </c>
    </row>
    <row r="841" spans="1:1">
      <c r="A841" t="str">
        <f t="shared" si="13"/>
        <v/>
      </c>
    </row>
    <row r="842" spans="1:1">
      <c r="A842" t="str">
        <f t="shared" si="13"/>
        <v/>
      </c>
    </row>
    <row r="843" spans="1:1">
      <c r="A843" t="str">
        <f t="shared" si="13"/>
        <v/>
      </c>
    </row>
    <row r="844" spans="1:1">
      <c r="A844" t="str">
        <f t="shared" si="13"/>
        <v/>
      </c>
    </row>
    <row r="845" spans="1:1">
      <c r="A845" t="str">
        <f t="shared" si="13"/>
        <v/>
      </c>
    </row>
    <row r="846" spans="1:1">
      <c r="A846" t="str">
        <f t="shared" si="13"/>
        <v/>
      </c>
    </row>
    <row r="847" spans="1:1">
      <c r="A847" t="str">
        <f t="shared" si="13"/>
        <v/>
      </c>
    </row>
    <row r="848" spans="1:1">
      <c r="A848" t="str">
        <f t="shared" si="13"/>
        <v/>
      </c>
    </row>
    <row r="849" spans="1:1">
      <c r="A849" t="str">
        <f t="shared" si="13"/>
        <v/>
      </c>
    </row>
    <row r="850" spans="1:1">
      <c r="A850" t="str">
        <f t="shared" si="13"/>
        <v/>
      </c>
    </row>
    <row r="851" spans="1:1">
      <c r="A851" t="str">
        <f t="shared" si="13"/>
        <v/>
      </c>
    </row>
    <row r="852" spans="1:1">
      <c r="A852" t="str">
        <f t="shared" si="13"/>
        <v/>
      </c>
    </row>
    <row r="853" spans="1:1">
      <c r="A853" t="str">
        <f t="shared" si="13"/>
        <v/>
      </c>
    </row>
    <row r="854" spans="1:1">
      <c r="A854" t="str">
        <f t="shared" si="13"/>
        <v/>
      </c>
    </row>
    <row r="855" spans="1:1">
      <c r="A855" t="str">
        <f t="shared" si="13"/>
        <v/>
      </c>
    </row>
    <row r="856" spans="1:1">
      <c r="A856" t="str">
        <f t="shared" si="13"/>
        <v/>
      </c>
    </row>
    <row r="857" spans="1:1">
      <c r="A857" t="str">
        <f t="shared" si="13"/>
        <v/>
      </c>
    </row>
    <row r="858" spans="1:1">
      <c r="A858" t="str">
        <f t="shared" si="13"/>
        <v/>
      </c>
    </row>
    <row r="859" spans="1:1">
      <c r="A859" t="str">
        <f t="shared" si="13"/>
        <v/>
      </c>
    </row>
    <row r="860" spans="1:1">
      <c r="A860" t="str">
        <f t="shared" si="13"/>
        <v/>
      </c>
    </row>
    <row r="861" spans="1:1">
      <c r="A861" t="str">
        <f t="shared" si="13"/>
        <v/>
      </c>
    </row>
    <row r="862" spans="1:1">
      <c r="A862" t="str">
        <f t="shared" si="13"/>
        <v/>
      </c>
    </row>
    <row r="863" spans="1:1">
      <c r="A863" t="str">
        <f t="shared" si="13"/>
        <v/>
      </c>
    </row>
    <row r="864" spans="1:1">
      <c r="A864" t="str">
        <f t="shared" si="13"/>
        <v/>
      </c>
    </row>
    <row r="865" spans="1:1">
      <c r="A865" t="str">
        <f t="shared" si="13"/>
        <v/>
      </c>
    </row>
    <row r="866" spans="1:1">
      <c r="A866" t="str">
        <f t="shared" si="13"/>
        <v/>
      </c>
    </row>
    <row r="867" spans="1:1">
      <c r="A867" t="str">
        <f t="shared" si="13"/>
        <v/>
      </c>
    </row>
    <row r="868" spans="1:1">
      <c r="A868" t="str">
        <f t="shared" si="13"/>
        <v/>
      </c>
    </row>
    <row r="869" spans="1:1">
      <c r="A869" t="str">
        <f t="shared" si="13"/>
        <v/>
      </c>
    </row>
    <row r="870" spans="1:1">
      <c r="A870" t="str">
        <f t="shared" si="13"/>
        <v/>
      </c>
    </row>
    <row r="871" spans="1:1">
      <c r="A871" t="str">
        <f t="shared" si="13"/>
        <v/>
      </c>
    </row>
    <row r="872" spans="1:1">
      <c r="A872" t="str">
        <f t="shared" si="13"/>
        <v/>
      </c>
    </row>
    <row r="873" spans="1:1">
      <c r="A873" t="str">
        <f t="shared" si="13"/>
        <v/>
      </c>
    </row>
    <row r="874" spans="1:1">
      <c r="A874" t="str">
        <f t="shared" si="13"/>
        <v/>
      </c>
    </row>
    <row r="875" spans="1:1">
      <c r="A875" t="str">
        <f t="shared" si="13"/>
        <v/>
      </c>
    </row>
    <row r="876" spans="1:1">
      <c r="A876" t="str">
        <f t="shared" si="13"/>
        <v/>
      </c>
    </row>
    <row r="877" spans="1:1">
      <c r="A877" t="str">
        <f t="shared" si="13"/>
        <v/>
      </c>
    </row>
    <row r="878" spans="1:1">
      <c r="A878" t="str">
        <f t="shared" si="13"/>
        <v/>
      </c>
    </row>
    <row r="879" spans="1:1">
      <c r="A879" t="str">
        <f t="shared" si="13"/>
        <v/>
      </c>
    </row>
    <row r="880" spans="1:1">
      <c r="A880" t="str">
        <f t="shared" si="13"/>
        <v/>
      </c>
    </row>
    <row r="881" spans="1:1">
      <c r="A881" t="str">
        <f t="shared" si="13"/>
        <v/>
      </c>
    </row>
    <row r="882" spans="1:1">
      <c r="A882" t="str">
        <f t="shared" si="13"/>
        <v/>
      </c>
    </row>
    <row r="883" spans="1:1">
      <c r="A883" t="str">
        <f t="shared" si="13"/>
        <v/>
      </c>
    </row>
    <row r="884" spans="1:1">
      <c r="A884" t="str">
        <f t="shared" si="13"/>
        <v/>
      </c>
    </row>
    <row r="885" spans="1:1">
      <c r="A885" t="str">
        <f t="shared" si="13"/>
        <v/>
      </c>
    </row>
    <row r="886" spans="1:1">
      <c r="A886" t="str">
        <f t="shared" si="13"/>
        <v/>
      </c>
    </row>
    <row r="887" spans="1:1">
      <c r="A887" t="str">
        <f t="shared" si="13"/>
        <v/>
      </c>
    </row>
    <row r="888" spans="1:1">
      <c r="A888" t="str">
        <f t="shared" si="13"/>
        <v/>
      </c>
    </row>
    <row r="889" spans="1:1">
      <c r="A889" t="str">
        <f t="shared" si="13"/>
        <v/>
      </c>
    </row>
    <row r="890" spans="1:1">
      <c r="A890" t="str">
        <f t="shared" si="13"/>
        <v/>
      </c>
    </row>
    <row r="891" spans="1:1">
      <c r="A891" t="str">
        <f t="shared" si="13"/>
        <v/>
      </c>
    </row>
    <row r="892" spans="1:1">
      <c r="A892" t="str">
        <f t="shared" si="13"/>
        <v/>
      </c>
    </row>
    <row r="893" spans="1:1">
      <c r="A893" t="str">
        <f t="shared" si="13"/>
        <v/>
      </c>
    </row>
    <row r="894" spans="1:1">
      <c r="A894" t="str">
        <f t="shared" si="13"/>
        <v/>
      </c>
    </row>
    <row r="895" spans="1:1">
      <c r="A895" t="str">
        <f t="shared" si="13"/>
        <v/>
      </c>
    </row>
    <row r="896" spans="1:1">
      <c r="A896" t="str">
        <f t="shared" si="13"/>
        <v/>
      </c>
    </row>
    <row r="897" spans="1:1">
      <c r="A897" t="str">
        <f t="shared" si="13"/>
        <v/>
      </c>
    </row>
    <row r="898" spans="1:1">
      <c r="A898" t="str">
        <f t="shared" si="13"/>
        <v/>
      </c>
    </row>
    <row r="899" spans="1:1">
      <c r="A899" t="str">
        <f t="shared" ref="A899:A962" si="14">IF(B899&lt;&gt;"","Client"&amp;ROW()-1,"")</f>
        <v/>
      </c>
    </row>
    <row r="900" spans="1:1">
      <c r="A900" t="str">
        <f t="shared" si="14"/>
        <v/>
      </c>
    </row>
    <row r="901" spans="1:1">
      <c r="A901" t="str">
        <f t="shared" si="14"/>
        <v/>
      </c>
    </row>
    <row r="902" spans="1:1">
      <c r="A902" t="str">
        <f t="shared" si="14"/>
        <v/>
      </c>
    </row>
    <row r="903" spans="1:1">
      <c r="A903" t="str">
        <f t="shared" si="14"/>
        <v/>
      </c>
    </row>
    <row r="904" spans="1:1">
      <c r="A904" t="str">
        <f t="shared" si="14"/>
        <v/>
      </c>
    </row>
    <row r="905" spans="1:1">
      <c r="A905" t="str">
        <f t="shared" si="14"/>
        <v/>
      </c>
    </row>
    <row r="906" spans="1:1">
      <c r="A906" t="str">
        <f t="shared" si="14"/>
        <v/>
      </c>
    </row>
    <row r="907" spans="1:1">
      <c r="A907" t="str">
        <f t="shared" si="14"/>
        <v/>
      </c>
    </row>
    <row r="908" spans="1:1">
      <c r="A908" t="str">
        <f t="shared" si="14"/>
        <v/>
      </c>
    </row>
    <row r="909" spans="1:1">
      <c r="A909" t="str">
        <f t="shared" si="14"/>
        <v/>
      </c>
    </row>
    <row r="910" spans="1:1">
      <c r="A910" t="str">
        <f t="shared" si="14"/>
        <v/>
      </c>
    </row>
    <row r="911" spans="1:1">
      <c r="A911" t="str">
        <f t="shared" si="14"/>
        <v/>
      </c>
    </row>
    <row r="912" spans="1:1">
      <c r="A912" t="str">
        <f t="shared" si="14"/>
        <v/>
      </c>
    </row>
    <row r="913" spans="1:1">
      <c r="A913" t="str">
        <f t="shared" si="14"/>
        <v/>
      </c>
    </row>
    <row r="914" spans="1:1">
      <c r="A914" t="str">
        <f t="shared" si="14"/>
        <v/>
      </c>
    </row>
    <row r="915" spans="1:1">
      <c r="A915" t="str">
        <f t="shared" si="14"/>
        <v/>
      </c>
    </row>
    <row r="916" spans="1:1">
      <c r="A916" t="str">
        <f t="shared" si="14"/>
        <v/>
      </c>
    </row>
    <row r="917" spans="1:1">
      <c r="A917" t="str">
        <f t="shared" si="14"/>
        <v/>
      </c>
    </row>
    <row r="918" spans="1:1">
      <c r="A918" t="str">
        <f t="shared" si="14"/>
        <v/>
      </c>
    </row>
    <row r="919" spans="1:1">
      <c r="A919" t="str">
        <f t="shared" si="14"/>
        <v/>
      </c>
    </row>
    <row r="920" spans="1:1">
      <c r="A920" t="str">
        <f t="shared" si="14"/>
        <v/>
      </c>
    </row>
    <row r="921" spans="1:1">
      <c r="A921" t="str">
        <f t="shared" si="14"/>
        <v/>
      </c>
    </row>
    <row r="922" spans="1:1">
      <c r="A922" t="str">
        <f t="shared" si="14"/>
        <v/>
      </c>
    </row>
    <row r="923" spans="1:1">
      <c r="A923" t="str">
        <f t="shared" si="14"/>
        <v/>
      </c>
    </row>
    <row r="924" spans="1:1">
      <c r="A924" t="str">
        <f t="shared" si="14"/>
        <v/>
      </c>
    </row>
    <row r="925" spans="1:1">
      <c r="A925" t="str">
        <f t="shared" si="14"/>
        <v/>
      </c>
    </row>
    <row r="926" spans="1:1">
      <c r="A926" t="str">
        <f t="shared" si="14"/>
        <v/>
      </c>
    </row>
    <row r="927" spans="1:1">
      <c r="A927" t="str">
        <f t="shared" si="14"/>
        <v/>
      </c>
    </row>
    <row r="928" spans="1:1">
      <c r="A928" t="str">
        <f t="shared" si="14"/>
        <v/>
      </c>
    </row>
    <row r="929" spans="1:1">
      <c r="A929" t="str">
        <f t="shared" si="14"/>
        <v/>
      </c>
    </row>
    <row r="930" spans="1:1">
      <c r="A930" t="str">
        <f t="shared" si="14"/>
        <v/>
      </c>
    </row>
    <row r="931" spans="1:1">
      <c r="A931" t="str">
        <f t="shared" si="14"/>
        <v/>
      </c>
    </row>
    <row r="932" spans="1:1">
      <c r="A932" t="str">
        <f t="shared" si="14"/>
        <v/>
      </c>
    </row>
    <row r="933" spans="1:1">
      <c r="A933" t="str">
        <f t="shared" si="14"/>
        <v/>
      </c>
    </row>
    <row r="934" spans="1:1">
      <c r="A934" t="str">
        <f t="shared" si="14"/>
        <v/>
      </c>
    </row>
    <row r="935" spans="1:1">
      <c r="A935" t="str">
        <f t="shared" si="14"/>
        <v/>
      </c>
    </row>
    <row r="936" spans="1:1">
      <c r="A936" t="str">
        <f t="shared" si="14"/>
        <v/>
      </c>
    </row>
    <row r="937" spans="1:1">
      <c r="A937" t="str">
        <f t="shared" si="14"/>
        <v/>
      </c>
    </row>
    <row r="938" spans="1:1">
      <c r="A938" t="str">
        <f t="shared" si="14"/>
        <v/>
      </c>
    </row>
    <row r="939" spans="1:1">
      <c r="A939" t="str">
        <f t="shared" si="14"/>
        <v/>
      </c>
    </row>
    <row r="940" spans="1:1">
      <c r="A940" t="str">
        <f t="shared" si="14"/>
        <v/>
      </c>
    </row>
    <row r="941" spans="1:1">
      <c r="A941" t="str">
        <f t="shared" si="14"/>
        <v/>
      </c>
    </row>
    <row r="942" spans="1:1">
      <c r="A942" t="str">
        <f t="shared" si="14"/>
        <v/>
      </c>
    </row>
    <row r="943" spans="1:1">
      <c r="A943" t="str">
        <f t="shared" si="14"/>
        <v/>
      </c>
    </row>
    <row r="944" spans="1:1">
      <c r="A944" t="str">
        <f t="shared" si="14"/>
        <v/>
      </c>
    </row>
    <row r="945" spans="1:1">
      <c r="A945" t="str">
        <f t="shared" si="14"/>
        <v/>
      </c>
    </row>
    <row r="946" spans="1:1">
      <c r="A946" t="str">
        <f t="shared" si="14"/>
        <v/>
      </c>
    </row>
    <row r="947" spans="1:1">
      <c r="A947" t="str">
        <f t="shared" si="14"/>
        <v/>
      </c>
    </row>
    <row r="948" spans="1:1">
      <c r="A948" t="str">
        <f t="shared" si="14"/>
        <v/>
      </c>
    </row>
    <row r="949" spans="1:1">
      <c r="A949" t="str">
        <f t="shared" si="14"/>
        <v/>
      </c>
    </row>
    <row r="950" spans="1:1">
      <c r="A950" t="str">
        <f t="shared" si="14"/>
        <v/>
      </c>
    </row>
    <row r="951" spans="1:1">
      <c r="A951" t="str">
        <f t="shared" si="14"/>
        <v/>
      </c>
    </row>
    <row r="952" spans="1:1">
      <c r="A952" t="str">
        <f t="shared" si="14"/>
        <v/>
      </c>
    </row>
    <row r="953" spans="1:1">
      <c r="A953" t="str">
        <f t="shared" si="14"/>
        <v/>
      </c>
    </row>
    <row r="954" spans="1:1">
      <c r="A954" t="str">
        <f t="shared" si="14"/>
        <v/>
      </c>
    </row>
    <row r="955" spans="1:1">
      <c r="A955" t="str">
        <f t="shared" si="14"/>
        <v/>
      </c>
    </row>
    <row r="956" spans="1:1">
      <c r="A956" t="str">
        <f t="shared" si="14"/>
        <v/>
      </c>
    </row>
    <row r="957" spans="1:1">
      <c r="A957" t="str">
        <f t="shared" si="14"/>
        <v/>
      </c>
    </row>
    <row r="958" spans="1:1">
      <c r="A958" t="str">
        <f t="shared" si="14"/>
        <v/>
      </c>
    </row>
    <row r="959" spans="1:1">
      <c r="A959" t="str">
        <f t="shared" si="14"/>
        <v/>
      </c>
    </row>
    <row r="960" spans="1:1">
      <c r="A960" t="str">
        <f t="shared" si="14"/>
        <v/>
      </c>
    </row>
    <row r="961" spans="1:1">
      <c r="A961" t="str">
        <f t="shared" si="14"/>
        <v/>
      </c>
    </row>
    <row r="962" spans="1:1">
      <c r="A962" t="str">
        <f t="shared" si="14"/>
        <v/>
      </c>
    </row>
    <row r="963" spans="1:1">
      <c r="A963" t="str">
        <f t="shared" ref="A963:A1001" si="15">IF(B963&lt;&gt;"","Client"&amp;ROW()-1,"")</f>
        <v/>
      </c>
    </row>
    <row r="964" spans="1:1">
      <c r="A964" t="str">
        <f t="shared" si="15"/>
        <v/>
      </c>
    </row>
    <row r="965" spans="1:1">
      <c r="A965" t="str">
        <f t="shared" si="15"/>
        <v/>
      </c>
    </row>
    <row r="966" spans="1:1">
      <c r="A966" t="str">
        <f t="shared" si="15"/>
        <v/>
      </c>
    </row>
    <row r="967" spans="1:1">
      <c r="A967" t="str">
        <f t="shared" si="15"/>
        <v/>
      </c>
    </row>
    <row r="968" spans="1:1">
      <c r="A968" t="str">
        <f t="shared" si="15"/>
        <v/>
      </c>
    </row>
    <row r="969" spans="1:1">
      <c r="A969" t="str">
        <f t="shared" si="15"/>
        <v/>
      </c>
    </row>
    <row r="970" spans="1:1">
      <c r="A970" t="str">
        <f t="shared" si="15"/>
        <v/>
      </c>
    </row>
    <row r="971" spans="1:1">
      <c r="A971" t="str">
        <f t="shared" si="15"/>
        <v/>
      </c>
    </row>
    <row r="972" spans="1:1">
      <c r="A972" t="str">
        <f t="shared" si="15"/>
        <v/>
      </c>
    </row>
    <row r="973" spans="1:1">
      <c r="A973" t="str">
        <f t="shared" si="15"/>
        <v/>
      </c>
    </row>
    <row r="974" spans="1:1">
      <c r="A974" t="str">
        <f t="shared" si="15"/>
        <v/>
      </c>
    </row>
    <row r="975" spans="1:1">
      <c r="A975" t="str">
        <f t="shared" si="15"/>
        <v/>
      </c>
    </row>
    <row r="976" spans="1:1">
      <c r="A976" t="str">
        <f t="shared" si="15"/>
        <v/>
      </c>
    </row>
    <row r="977" spans="1:1">
      <c r="A977" t="str">
        <f t="shared" si="15"/>
        <v/>
      </c>
    </row>
    <row r="978" spans="1:1">
      <c r="A978" t="str">
        <f t="shared" si="15"/>
        <v/>
      </c>
    </row>
    <row r="979" spans="1:1">
      <c r="A979" t="str">
        <f t="shared" si="15"/>
        <v/>
      </c>
    </row>
    <row r="980" spans="1:1">
      <c r="A980" t="str">
        <f t="shared" si="15"/>
        <v/>
      </c>
    </row>
    <row r="981" spans="1:1">
      <c r="A981" t="str">
        <f t="shared" si="15"/>
        <v/>
      </c>
    </row>
    <row r="982" spans="1:1">
      <c r="A982" t="str">
        <f t="shared" si="15"/>
        <v/>
      </c>
    </row>
    <row r="983" spans="1:1">
      <c r="A983" t="str">
        <f t="shared" si="15"/>
        <v/>
      </c>
    </row>
    <row r="984" spans="1:1">
      <c r="A984" t="str">
        <f t="shared" si="15"/>
        <v/>
      </c>
    </row>
    <row r="985" spans="1:1">
      <c r="A985" t="str">
        <f t="shared" si="15"/>
        <v/>
      </c>
    </row>
    <row r="986" spans="1:1">
      <c r="A986" t="str">
        <f t="shared" si="15"/>
        <v/>
      </c>
    </row>
    <row r="987" spans="1:1">
      <c r="A987" t="str">
        <f t="shared" si="15"/>
        <v/>
      </c>
    </row>
    <row r="988" spans="1:1">
      <c r="A988" t="str">
        <f t="shared" si="15"/>
        <v/>
      </c>
    </row>
    <row r="989" spans="1:1">
      <c r="A989" t="str">
        <f t="shared" si="15"/>
        <v/>
      </c>
    </row>
    <row r="990" spans="1:1">
      <c r="A990" t="str">
        <f t="shared" si="15"/>
        <v/>
      </c>
    </row>
    <row r="991" spans="1:1">
      <c r="A991" t="str">
        <f t="shared" si="15"/>
        <v/>
      </c>
    </row>
    <row r="992" spans="1:1">
      <c r="A992" t="str">
        <f t="shared" si="15"/>
        <v/>
      </c>
    </row>
    <row r="993" spans="1:1">
      <c r="A993" t="str">
        <f t="shared" si="15"/>
        <v/>
      </c>
    </row>
    <row r="994" spans="1:1">
      <c r="A994" t="str">
        <f t="shared" si="15"/>
        <v/>
      </c>
    </row>
    <row r="995" spans="1:1">
      <c r="A995" t="str">
        <f t="shared" si="15"/>
        <v/>
      </c>
    </row>
    <row r="996" spans="1:1">
      <c r="A996" t="str">
        <f t="shared" si="15"/>
        <v/>
      </c>
    </row>
    <row r="997" spans="1:1">
      <c r="A997" t="str">
        <f t="shared" si="15"/>
        <v/>
      </c>
    </row>
    <row r="998" spans="1:1">
      <c r="A998" t="str">
        <f t="shared" si="15"/>
        <v/>
      </c>
    </row>
    <row r="999" spans="1:1">
      <c r="A999" t="str">
        <f t="shared" si="15"/>
        <v/>
      </c>
    </row>
    <row r="1000" spans="1:1">
      <c r="A1000" t="str">
        <f t="shared" si="15"/>
        <v/>
      </c>
    </row>
    <row r="1001" spans="1:1">
      <c r="A1001" t="str">
        <f t="shared" si="15"/>
        <v/>
      </c>
    </row>
  </sheetData>
  <dataValidations count="2">
    <dataValidation type="custom" allowBlank="1" showInputMessage="1" showErrorMessage="1" errorTitle="Invalid Input" error="Kindly enter a valid 10-digit phone number" sqref="C2:C110" errorStyle="warning">
      <formula1>LEN(C2)=10</formula1>
    </dataValidation>
    <dataValidation type="custom" allowBlank="1" showInputMessage="1" showErrorMessage="1" errorTitle="Invalid Input" error="Kindly Input a correct 10-digit phone number&#10;" sqref="D2:D120" errorStyle="warning">
      <formula1>LEN(D2)=10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1"/>
  <sheetViews>
    <sheetView workbookViewId="0">
      <selection activeCell="K9" sqref="K9"/>
    </sheetView>
  </sheetViews>
  <sheetFormatPr defaultColWidth="9" defaultRowHeight="15"/>
  <cols>
    <col min="2" max="2" width="10.875" customWidth="1"/>
    <col min="4" max="5" width="15" customWidth="1"/>
    <col min="6" max="6" width="19.5" customWidth="1"/>
    <col min="7" max="8" width="7.125" customWidth="1"/>
    <col min="9" max="9" width="13.875" customWidth="1"/>
    <col min="10" max="10" width="9.5"/>
    <col min="11" max="11" width="41.25" customWidth="1"/>
    <col min="12" max="12" width="13.75" customWidth="1"/>
  </cols>
  <sheetData>
    <row r="1" spans="1:12">
      <c r="A1" t="s">
        <v>23</v>
      </c>
      <c r="B1" t="s">
        <v>1</v>
      </c>
      <c r="C1" t="s">
        <v>0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1">
      <c r="A2" t="str">
        <f>IF(B2&lt;&gt;"","LN"&amp;ROW()-1,"")</f>
        <v>LN1</v>
      </c>
      <c r="B2" t="s">
        <v>6</v>
      </c>
      <c r="C2" t="str">
        <f>IF(B2&lt;&gt;"",_xlfn.XLOOKUP(B2,'Client list'!B:B,'Client list'!A:A),"")</f>
        <v>Client2</v>
      </c>
      <c r="D2">
        <v>18000</v>
      </c>
      <c r="E2">
        <v>105</v>
      </c>
      <c r="F2">
        <f>IF(D2&lt;&gt;"",(D2+E2),"")</f>
        <v>18105</v>
      </c>
      <c r="G2" s="3">
        <v>0.15</v>
      </c>
      <c r="H2" s="4">
        <f>IF(D2&lt;&gt;"",(D2*G2),"")</f>
        <v>2700</v>
      </c>
      <c r="I2">
        <f>IF(D2&lt;&gt;"",(D2+H2),"")</f>
        <v>20700</v>
      </c>
      <c r="J2" s="2">
        <v>45964</v>
      </c>
      <c r="K2" t="str">
        <f>IF(D2&lt;&gt;"",(A2&amp;" | "&amp;B2&amp;" | "&amp;D2&amp;" | "&amp;H2&amp;" | "&amp;I2&amp;" | "&amp;J2),"")</f>
        <v>LN1 | Linda Musita | 18000 | 2700 | 20700 | 45964</v>
      </c>
    </row>
    <row r="3" spans="1:11">
      <c r="A3" t="str">
        <f t="shared" ref="A3:A66" si="0">IF(B3&lt;&gt;"","LN"&amp;ROW()-1,"")</f>
        <v>LN2</v>
      </c>
      <c r="B3" t="s">
        <v>6</v>
      </c>
      <c r="C3" t="str">
        <f>IF(B3&lt;&gt;"",_xlfn.XLOOKUP(B3,'Client list'!B:B,'Client list'!A:A),"")</f>
        <v>Client2</v>
      </c>
      <c r="D3">
        <v>1100</v>
      </c>
      <c r="E3">
        <v>13</v>
      </c>
      <c r="F3">
        <f t="shared" ref="F3:F66" si="1">IF(D3&lt;&gt;"",(D3+E3),"")</f>
        <v>1113</v>
      </c>
      <c r="G3" s="3">
        <v>0</v>
      </c>
      <c r="H3" s="4">
        <f t="shared" ref="H3:H66" si="2">IF(D3&lt;&gt;"",(D3*G3),"")</f>
        <v>0</v>
      </c>
      <c r="I3">
        <f t="shared" ref="I3:I66" si="3">IF(D3&lt;&gt;"",(D3+H3),"")</f>
        <v>1100</v>
      </c>
      <c r="J3" s="2">
        <v>45952</v>
      </c>
      <c r="K3" t="str">
        <f t="shared" ref="K3:K66" si="4">IF(D3&lt;&gt;"",(A3&amp;" | "&amp;B3&amp;" | "&amp;D3&amp;" | "&amp;H3&amp;" | "&amp;I3&amp;" | "&amp;J3),"")</f>
        <v>LN2 | Linda Musita | 1100 | 0 | 1100 | 45952</v>
      </c>
    </row>
    <row r="4" spans="1:11">
      <c r="A4" t="str">
        <f t="shared" si="0"/>
        <v>LN3</v>
      </c>
      <c r="B4" t="s">
        <v>6</v>
      </c>
      <c r="C4" t="str">
        <f>IF(B4&lt;&gt;"",_xlfn.XLOOKUP(B4,'Client list'!B:B,'Client list'!A:A),"")</f>
        <v>Client2</v>
      </c>
      <c r="D4">
        <v>500</v>
      </c>
      <c r="E4">
        <v>7</v>
      </c>
      <c r="F4">
        <f t="shared" si="1"/>
        <v>507</v>
      </c>
      <c r="G4" s="3">
        <v>0</v>
      </c>
      <c r="H4" s="4">
        <f t="shared" si="2"/>
        <v>0</v>
      </c>
      <c r="I4">
        <f t="shared" si="3"/>
        <v>500</v>
      </c>
      <c r="J4" s="2">
        <v>45956</v>
      </c>
      <c r="K4" t="str">
        <f t="shared" si="4"/>
        <v>LN3 | Linda Musita | 500 | 0 | 500 | 45956</v>
      </c>
    </row>
    <row r="5" spans="1:12">
      <c r="A5" t="str">
        <f t="shared" si="0"/>
        <v>LN4</v>
      </c>
      <c r="B5" t="s">
        <v>8</v>
      </c>
      <c r="C5" t="str">
        <f>IF(B5&lt;&gt;"",_xlfn.XLOOKUP(B5,'Client list'!B:B,'Client list'!A:A),"")</f>
        <v>Client3</v>
      </c>
      <c r="D5">
        <v>4000</v>
      </c>
      <c r="E5">
        <v>33</v>
      </c>
      <c r="F5">
        <f t="shared" si="1"/>
        <v>4033</v>
      </c>
      <c r="G5" s="3">
        <v>0.15</v>
      </c>
      <c r="H5" s="4">
        <f t="shared" si="2"/>
        <v>600</v>
      </c>
      <c r="I5">
        <f t="shared" si="3"/>
        <v>4600</v>
      </c>
      <c r="J5" s="2">
        <v>45757</v>
      </c>
      <c r="K5" t="str">
        <f t="shared" si="4"/>
        <v>LN4 | Pauline Kayaja | 4000 | 600 | 4600 | 45757</v>
      </c>
      <c r="L5" t="s">
        <v>33</v>
      </c>
    </row>
    <row r="6" spans="1:12">
      <c r="A6" t="str">
        <f t="shared" si="0"/>
        <v>LN5</v>
      </c>
      <c r="B6" t="s">
        <v>10</v>
      </c>
      <c r="C6" t="str">
        <f>IF(B6&lt;&gt;"",_xlfn.XLOOKUP(B6,'Client list'!B:B,'Client list'!A:A),"")</f>
        <v>Client4</v>
      </c>
      <c r="D6">
        <v>1000</v>
      </c>
      <c r="E6">
        <v>13</v>
      </c>
      <c r="F6">
        <f t="shared" si="1"/>
        <v>1013</v>
      </c>
      <c r="G6" s="3">
        <v>0</v>
      </c>
      <c r="H6" s="4">
        <f t="shared" si="2"/>
        <v>0</v>
      </c>
      <c r="I6">
        <f t="shared" si="3"/>
        <v>1000</v>
      </c>
      <c r="J6" s="2">
        <v>45698</v>
      </c>
      <c r="K6" t="str">
        <f t="shared" si="4"/>
        <v>LN5 | Tonny Ngaira | 1000 | 0 | 1000 | 45698</v>
      </c>
      <c r="L6" t="s">
        <v>33</v>
      </c>
    </row>
    <row r="7" spans="1:11">
      <c r="A7" t="str">
        <f t="shared" si="0"/>
        <v>LN6</v>
      </c>
      <c r="B7" t="s">
        <v>12</v>
      </c>
      <c r="C7" t="str">
        <f>IF(B7&lt;&gt;"",_xlfn.XLOOKUP(B7,'Client list'!B:B,'Client list'!A:A),"")</f>
        <v>Client5</v>
      </c>
      <c r="D7">
        <v>4000</v>
      </c>
      <c r="E7">
        <v>54</v>
      </c>
      <c r="F7">
        <f t="shared" si="1"/>
        <v>4054</v>
      </c>
      <c r="G7" s="3">
        <v>0.15</v>
      </c>
      <c r="H7" s="4">
        <f t="shared" si="2"/>
        <v>600</v>
      </c>
      <c r="I7">
        <f t="shared" si="3"/>
        <v>4600</v>
      </c>
      <c r="J7" s="2">
        <v>45964</v>
      </c>
      <c r="K7" t="str">
        <f t="shared" si="4"/>
        <v>LN6 | James Nganga | 4000 | 600 | 4600 | 45964</v>
      </c>
    </row>
    <row r="8" spans="1:11">
      <c r="A8" t="str">
        <f t="shared" si="0"/>
        <v>LN7</v>
      </c>
      <c r="B8" t="s">
        <v>15</v>
      </c>
      <c r="C8" t="str">
        <f>IF(B8&lt;&gt;"",_xlfn.XLOOKUP(B8,'Client list'!B:B,'Client list'!A:A),"")</f>
        <v>Client6</v>
      </c>
      <c r="D8">
        <v>5000</v>
      </c>
      <c r="E8">
        <v>57</v>
      </c>
      <c r="F8">
        <f t="shared" si="1"/>
        <v>5057</v>
      </c>
      <c r="G8" s="3">
        <v>0.15</v>
      </c>
      <c r="H8" s="4">
        <f t="shared" si="2"/>
        <v>750</v>
      </c>
      <c r="I8">
        <f t="shared" si="3"/>
        <v>5750</v>
      </c>
      <c r="J8" s="2">
        <v>45967</v>
      </c>
      <c r="K8" t="str">
        <f t="shared" si="4"/>
        <v>LN7 | Edmond Odongo | 5000 | 750 | 5750 | 45967</v>
      </c>
    </row>
    <row r="9" spans="1:11">
      <c r="A9" t="str">
        <f t="shared" si="0"/>
        <v>LN8</v>
      </c>
      <c r="B9" t="s">
        <v>6</v>
      </c>
      <c r="C9" t="str">
        <f>IF(B9&lt;&gt;"",_xlfn.XLOOKUP(B9,'Client list'!B:B,'Client list'!A:A),"")</f>
        <v>Client2</v>
      </c>
      <c r="D9">
        <v>2000</v>
      </c>
      <c r="E9">
        <v>29</v>
      </c>
      <c r="F9">
        <f t="shared" si="1"/>
        <v>2029</v>
      </c>
      <c r="G9" s="3">
        <v>0.15</v>
      </c>
      <c r="H9" s="4">
        <f t="shared" si="2"/>
        <v>300</v>
      </c>
      <c r="I9">
        <f t="shared" si="3"/>
        <v>2300</v>
      </c>
      <c r="J9" s="2">
        <v>45972</v>
      </c>
      <c r="K9" t="str">
        <f t="shared" si="4"/>
        <v>LN8 | Linda Musita | 2000 | 300 | 2300 | 45972</v>
      </c>
    </row>
    <row r="10" spans="1:11">
      <c r="A10" t="str">
        <f t="shared" si="0"/>
        <v>LN9</v>
      </c>
      <c r="B10" t="s">
        <v>17</v>
      </c>
      <c r="C10" t="str">
        <f>IF(B10&lt;&gt;"",_xlfn.XLOOKUP(B10,'Client list'!B:B,'Client list'!A:A),"")</f>
        <v>Client7</v>
      </c>
      <c r="D10">
        <v>1500</v>
      </c>
      <c r="E10">
        <v>29</v>
      </c>
      <c r="F10">
        <f t="shared" si="1"/>
        <v>1529</v>
      </c>
      <c r="G10" s="3">
        <v>0</v>
      </c>
      <c r="H10" s="4">
        <f t="shared" si="2"/>
        <v>0</v>
      </c>
      <c r="I10">
        <f t="shared" si="3"/>
        <v>1500</v>
      </c>
      <c r="J10" s="2">
        <v>45975</v>
      </c>
      <c r="K10" t="str">
        <f t="shared" si="4"/>
        <v>LN9 | Aluchio Caren | 1500 | 0 | 1500 | 45975</v>
      </c>
    </row>
    <row r="11" spans="1:11">
      <c r="A11" t="str">
        <f t="shared" si="0"/>
        <v>LN10</v>
      </c>
      <c r="B11" t="s">
        <v>12</v>
      </c>
      <c r="C11" t="str">
        <f>IF(B11&lt;&gt;"",_xlfn.XLOOKUP(B11,'Client list'!B:B,'Client list'!A:A),"")</f>
        <v>Client5</v>
      </c>
      <c r="D11">
        <v>1000</v>
      </c>
      <c r="E11">
        <v>18</v>
      </c>
      <c r="F11">
        <f t="shared" si="1"/>
        <v>1018</v>
      </c>
      <c r="G11" s="3">
        <v>0.15</v>
      </c>
      <c r="H11" s="4">
        <f t="shared" si="2"/>
        <v>150</v>
      </c>
      <c r="I11">
        <f t="shared" si="3"/>
        <v>1150</v>
      </c>
      <c r="J11" s="2">
        <v>45981</v>
      </c>
      <c r="K11" t="str">
        <f t="shared" si="4"/>
        <v>LN10 | James Nganga | 1000 | 150 | 1150 | 45981</v>
      </c>
    </row>
    <row r="12" spans="1:11">
      <c r="A12" t="str">
        <f t="shared" si="0"/>
        <v>LN11</v>
      </c>
      <c r="B12" t="s">
        <v>4</v>
      </c>
      <c r="C12" t="str">
        <f>IF(B12&lt;&gt;"",_xlfn.XLOOKUP(B12,'Client list'!B:B,'Client list'!A:A),"")</f>
        <v>Client1</v>
      </c>
      <c r="D12">
        <v>15000</v>
      </c>
      <c r="E12">
        <v>60</v>
      </c>
      <c r="F12">
        <f t="shared" si="1"/>
        <v>15060</v>
      </c>
      <c r="G12" s="3">
        <v>0.1</v>
      </c>
      <c r="H12" s="4">
        <f t="shared" si="2"/>
        <v>1500</v>
      </c>
      <c r="I12">
        <f t="shared" si="3"/>
        <v>16500</v>
      </c>
      <c r="J12" s="2">
        <v>45983</v>
      </c>
      <c r="K12" t="str">
        <f t="shared" si="4"/>
        <v>LN11 | Elvis Mbaya | 15000 | 1500 | 16500 | 45983</v>
      </c>
    </row>
    <row r="13" spans="1:11">
      <c r="A13" t="str">
        <f t="shared" si="0"/>
        <v>LN12</v>
      </c>
      <c r="B13" t="s">
        <v>15</v>
      </c>
      <c r="C13" t="str">
        <f>IF(B13&lt;&gt;"",_xlfn.XLOOKUP(B13,'Client list'!B:B,'Client list'!A:A),"")</f>
        <v>Client6</v>
      </c>
      <c r="D13">
        <v>5000</v>
      </c>
      <c r="E13">
        <v>57</v>
      </c>
      <c r="F13">
        <f t="shared" si="1"/>
        <v>5057</v>
      </c>
      <c r="G13" s="3">
        <v>0.15</v>
      </c>
      <c r="H13" s="4">
        <f t="shared" si="2"/>
        <v>750</v>
      </c>
      <c r="I13">
        <f t="shared" si="3"/>
        <v>5750</v>
      </c>
      <c r="J13" s="2">
        <v>45992</v>
      </c>
      <c r="K13" t="str">
        <f t="shared" si="4"/>
        <v>LN12 | Edmond Odongo | 5000 | 750 | 5750 | 45992</v>
      </c>
    </row>
    <row r="14" spans="1:11">
      <c r="A14" t="str">
        <f t="shared" si="0"/>
        <v>LN13</v>
      </c>
      <c r="B14" t="s">
        <v>12</v>
      </c>
      <c r="C14" t="str">
        <f>IF(B14&lt;&gt;"",_xlfn.XLOOKUP(B14,'Client list'!B:B,'Client list'!A:A),"")</f>
        <v>Client5</v>
      </c>
      <c r="D14">
        <v>3000</v>
      </c>
      <c r="E14">
        <v>41</v>
      </c>
      <c r="F14">
        <f t="shared" si="1"/>
        <v>3041</v>
      </c>
      <c r="G14" s="3">
        <v>0.15</v>
      </c>
      <c r="H14" s="4">
        <f t="shared" si="2"/>
        <v>450</v>
      </c>
      <c r="I14">
        <f t="shared" si="3"/>
        <v>3450</v>
      </c>
      <c r="J14" s="2">
        <v>45993</v>
      </c>
      <c r="K14" t="str">
        <f t="shared" si="4"/>
        <v>LN13 | James Nganga | 3000 | 450 | 3450 | 45993</v>
      </c>
    </row>
    <row r="15" spans="1:11">
      <c r="A15" t="str">
        <f t="shared" si="0"/>
        <v>LN14</v>
      </c>
      <c r="B15" t="s">
        <v>15</v>
      </c>
      <c r="C15" t="str">
        <f>IF(B15&lt;&gt;"",_xlfn.XLOOKUP(B15,'Client list'!B:B,'Client list'!A:A),"")</f>
        <v>Client6</v>
      </c>
      <c r="D15">
        <v>2000</v>
      </c>
      <c r="E15">
        <v>28</v>
      </c>
      <c r="F15">
        <f t="shared" si="1"/>
        <v>2028</v>
      </c>
      <c r="G15" s="3">
        <v>0.15</v>
      </c>
      <c r="H15" s="4">
        <f t="shared" si="2"/>
        <v>300</v>
      </c>
      <c r="I15">
        <f t="shared" si="3"/>
        <v>2300</v>
      </c>
      <c r="J15" s="2">
        <v>45994</v>
      </c>
      <c r="K15" t="str">
        <f t="shared" si="4"/>
        <v>LN14 | Edmond Odongo | 2000 | 300 | 2300 | 45994</v>
      </c>
    </row>
    <row r="16" spans="1:11">
      <c r="A16" t="str">
        <f t="shared" si="0"/>
        <v>LN15</v>
      </c>
      <c r="B16" t="s">
        <v>15</v>
      </c>
      <c r="C16" t="str">
        <f>IF(B16&lt;&gt;"",_xlfn.XLOOKUP(B16,'Client list'!B:B,'Client list'!A:A),"")</f>
        <v>Client6</v>
      </c>
      <c r="D16">
        <v>7000</v>
      </c>
      <c r="E16">
        <v>0</v>
      </c>
      <c r="F16">
        <f t="shared" si="1"/>
        <v>7000</v>
      </c>
      <c r="G16" s="3">
        <v>0.15</v>
      </c>
      <c r="H16" s="4">
        <f t="shared" si="2"/>
        <v>1050</v>
      </c>
      <c r="I16">
        <f t="shared" si="3"/>
        <v>8050</v>
      </c>
      <c r="J16" s="2">
        <v>46015</v>
      </c>
      <c r="K16" t="str">
        <f t="shared" si="4"/>
        <v>LN15 | Edmond Odongo | 7000 | 1050 | 8050 | 46015</v>
      </c>
    </row>
    <row r="17" spans="1:11">
      <c r="A17" t="str">
        <f t="shared" si="0"/>
        <v>LN16</v>
      </c>
      <c r="B17" t="s">
        <v>12</v>
      </c>
      <c r="C17" t="str">
        <f>IF(B17&lt;&gt;"",_xlfn.XLOOKUP(B17,'Client list'!B:B,'Client list'!A:A),"")</f>
        <v>Client5</v>
      </c>
      <c r="D17">
        <v>2000</v>
      </c>
      <c r="E17">
        <v>28</v>
      </c>
      <c r="F17">
        <f t="shared" si="1"/>
        <v>2028</v>
      </c>
      <c r="G17" s="3">
        <v>0.15</v>
      </c>
      <c r="H17" s="4">
        <f t="shared" si="2"/>
        <v>300</v>
      </c>
      <c r="I17">
        <f t="shared" si="3"/>
        <v>2300</v>
      </c>
      <c r="J17" s="2">
        <v>46020</v>
      </c>
      <c r="K17" t="str">
        <f t="shared" si="4"/>
        <v>LN16 | James Nganga | 2000 | 300 | 2300 | 46020</v>
      </c>
    </row>
    <row r="18" spans="1:11">
      <c r="A18" t="str">
        <f t="shared" si="0"/>
        <v>LN17</v>
      </c>
      <c r="B18" t="s">
        <v>19</v>
      </c>
      <c r="C18" t="str">
        <f>IF(B18&lt;&gt;"",_xlfn.XLOOKUP(B18,'Client list'!B:B,'Client list'!A:A),"")</f>
        <v>Client8</v>
      </c>
      <c r="D18">
        <v>1000</v>
      </c>
      <c r="E18">
        <v>13</v>
      </c>
      <c r="F18">
        <f t="shared" si="1"/>
        <v>1013</v>
      </c>
      <c r="G18" s="3">
        <v>0</v>
      </c>
      <c r="H18" s="4">
        <f t="shared" si="2"/>
        <v>0</v>
      </c>
      <c r="I18">
        <f t="shared" si="3"/>
        <v>1000</v>
      </c>
      <c r="J18" s="2">
        <v>45717</v>
      </c>
      <c r="K18" t="str">
        <f t="shared" si="4"/>
        <v>LN17 | Felicity | 1000 | 0 | 1000 | 45717</v>
      </c>
    </row>
    <row r="19" spans="1:11">
      <c r="A19" t="str">
        <f t="shared" si="0"/>
        <v>LN18</v>
      </c>
      <c r="B19" t="s">
        <v>21</v>
      </c>
      <c r="C19" t="str">
        <f>IF(B19&lt;&gt;"",_xlfn.XLOOKUP(B19,'Client list'!B:B,'Client list'!A:A),"")</f>
        <v>Client9</v>
      </c>
      <c r="D19">
        <v>500</v>
      </c>
      <c r="E19">
        <v>13</v>
      </c>
      <c r="F19">
        <f t="shared" si="1"/>
        <v>513</v>
      </c>
      <c r="G19" s="3">
        <v>0</v>
      </c>
      <c r="H19" s="4">
        <f t="shared" si="2"/>
        <v>0</v>
      </c>
      <c r="I19">
        <f t="shared" si="3"/>
        <v>500</v>
      </c>
      <c r="J19" s="2">
        <v>46031</v>
      </c>
      <c r="K19" t="str">
        <f t="shared" si="4"/>
        <v>LN18 | Dennis Nyawira | 500 | 0 | 500 | 46031</v>
      </c>
    </row>
    <row r="20" spans="1:11">
      <c r="A20" t="str">
        <f t="shared" si="0"/>
        <v>LN19</v>
      </c>
      <c r="B20" t="s">
        <v>15</v>
      </c>
      <c r="C20" t="str">
        <f>IF(B20&lt;&gt;"",_xlfn.XLOOKUP(B20,'Client list'!B:B,'Client list'!A:A),"")</f>
        <v>Client6</v>
      </c>
      <c r="D20">
        <v>1000</v>
      </c>
      <c r="E20">
        <v>18</v>
      </c>
      <c r="F20">
        <f t="shared" si="1"/>
        <v>1018</v>
      </c>
      <c r="G20" s="3">
        <v>0.15</v>
      </c>
      <c r="H20" s="4">
        <f t="shared" si="2"/>
        <v>150</v>
      </c>
      <c r="I20">
        <f t="shared" si="3"/>
        <v>1150</v>
      </c>
      <c r="J20" s="2">
        <v>46039</v>
      </c>
      <c r="K20" t="str">
        <f t="shared" si="4"/>
        <v>LN19 | Edmond Odongo | 1000 | 150 | 1150 | 46039</v>
      </c>
    </row>
    <row r="21" spans="1:11">
      <c r="A21" t="str">
        <f t="shared" si="0"/>
        <v/>
      </c>
      <c r="C21" t="str">
        <f>IF(B21&lt;&gt;"",_xlfn.XLOOKUP(B21,'Client list'!B:B,'Client list'!A:A),"")</f>
        <v/>
      </c>
      <c r="F21" t="str">
        <f t="shared" si="1"/>
        <v/>
      </c>
      <c r="G21" s="3"/>
      <c r="H21" s="4" t="str">
        <f t="shared" si="2"/>
        <v/>
      </c>
      <c r="I21" t="str">
        <f t="shared" si="3"/>
        <v/>
      </c>
      <c r="J21" s="2"/>
      <c r="K21" t="str">
        <f t="shared" si="4"/>
        <v/>
      </c>
    </row>
    <row r="22" spans="1:11">
      <c r="A22" t="str">
        <f t="shared" si="0"/>
        <v/>
      </c>
      <c r="C22" t="str">
        <f>IF(B22&lt;&gt;"",_xlfn.XLOOKUP(B22,'Client list'!B:B,'Client list'!A:A),"")</f>
        <v/>
      </c>
      <c r="F22" t="str">
        <f t="shared" si="1"/>
        <v/>
      </c>
      <c r="G22" s="3"/>
      <c r="H22" s="4" t="str">
        <f t="shared" si="2"/>
        <v/>
      </c>
      <c r="I22" t="str">
        <f t="shared" si="3"/>
        <v/>
      </c>
      <c r="J22" s="2"/>
      <c r="K22" t="str">
        <f t="shared" si="4"/>
        <v/>
      </c>
    </row>
    <row r="23" spans="1:11">
      <c r="A23" t="str">
        <f t="shared" si="0"/>
        <v/>
      </c>
      <c r="C23" t="str">
        <f>IF(B23&lt;&gt;"",_xlfn.XLOOKUP(B23,'Client list'!B:B,'Client list'!A:A),"")</f>
        <v/>
      </c>
      <c r="F23" t="str">
        <f t="shared" si="1"/>
        <v/>
      </c>
      <c r="G23" s="3"/>
      <c r="H23" s="4" t="str">
        <f t="shared" si="2"/>
        <v/>
      </c>
      <c r="I23" t="str">
        <f t="shared" si="3"/>
        <v/>
      </c>
      <c r="J23" s="2"/>
      <c r="K23" t="str">
        <f t="shared" si="4"/>
        <v/>
      </c>
    </row>
    <row r="24" spans="1:11">
      <c r="A24" t="str">
        <f t="shared" si="0"/>
        <v/>
      </c>
      <c r="C24" t="str">
        <f>IF(B24&lt;&gt;"",_xlfn.XLOOKUP(B24,'Client list'!B:B,'Client list'!A:A),"")</f>
        <v/>
      </c>
      <c r="F24" t="str">
        <f t="shared" si="1"/>
        <v/>
      </c>
      <c r="G24" s="3"/>
      <c r="H24" s="4" t="str">
        <f t="shared" si="2"/>
        <v/>
      </c>
      <c r="I24" t="str">
        <f t="shared" si="3"/>
        <v/>
      </c>
      <c r="J24" s="2"/>
      <c r="K24" t="str">
        <f t="shared" si="4"/>
        <v/>
      </c>
    </row>
    <row r="25" spans="1:11">
      <c r="A25" t="str">
        <f t="shared" si="0"/>
        <v/>
      </c>
      <c r="C25" t="str">
        <f>IF(B25&lt;&gt;"",_xlfn.XLOOKUP(B25,'Client list'!B:B,'Client list'!A:A),"")</f>
        <v/>
      </c>
      <c r="F25" t="str">
        <f t="shared" si="1"/>
        <v/>
      </c>
      <c r="G25" s="3"/>
      <c r="H25" s="4" t="str">
        <f t="shared" si="2"/>
        <v/>
      </c>
      <c r="I25" t="str">
        <f t="shared" si="3"/>
        <v/>
      </c>
      <c r="J25" s="2"/>
      <c r="K25" t="str">
        <f t="shared" si="4"/>
        <v/>
      </c>
    </row>
    <row r="26" spans="1:11">
      <c r="A26" t="str">
        <f t="shared" si="0"/>
        <v/>
      </c>
      <c r="C26" t="str">
        <f>IF(B26&lt;&gt;"",_xlfn.XLOOKUP(B26,'Client list'!B:B,'Client list'!A:A),"")</f>
        <v/>
      </c>
      <c r="F26" t="str">
        <f t="shared" si="1"/>
        <v/>
      </c>
      <c r="G26" s="3"/>
      <c r="H26" s="4" t="str">
        <f t="shared" si="2"/>
        <v/>
      </c>
      <c r="I26" t="str">
        <f t="shared" si="3"/>
        <v/>
      </c>
      <c r="J26" s="2"/>
      <c r="K26" t="str">
        <f t="shared" si="4"/>
        <v/>
      </c>
    </row>
    <row r="27" spans="1:11">
      <c r="A27" t="str">
        <f t="shared" si="0"/>
        <v/>
      </c>
      <c r="C27" t="str">
        <f>IF(B27&lt;&gt;"",_xlfn.XLOOKUP(B27,'Client list'!B:B,'Client list'!A:A),"")</f>
        <v/>
      </c>
      <c r="F27" t="str">
        <f t="shared" si="1"/>
        <v/>
      </c>
      <c r="G27" s="3"/>
      <c r="H27" s="4" t="str">
        <f t="shared" si="2"/>
        <v/>
      </c>
      <c r="I27" t="str">
        <f t="shared" si="3"/>
        <v/>
      </c>
      <c r="J27" s="2"/>
      <c r="K27" t="str">
        <f t="shared" si="4"/>
        <v/>
      </c>
    </row>
    <row r="28" spans="1:11">
      <c r="A28" t="str">
        <f t="shared" si="0"/>
        <v/>
      </c>
      <c r="C28" t="str">
        <f>IF(B28&lt;&gt;"",_xlfn.XLOOKUP(B28,'Client list'!B:B,'Client list'!A:A),"")</f>
        <v/>
      </c>
      <c r="F28" t="str">
        <f t="shared" si="1"/>
        <v/>
      </c>
      <c r="G28" s="3"/>
      <c r="H28" s="4" t="str">
        <f t="shared" si="2"/>
        <v/>
      </c>
      <c r="I28" t="str">
        <f t="shared" si="3"/>
        <v/>
      </c>
      <c r="J28" s="2"/>
      <c r="K28" t="str">
        <f t="shared" si="4"/>
        <v/>
      </c>
    </row>
    <row r="29" spans="1:11">
      <c r="A29" t="str">
        <f t="shared" si="0"/>
        <v/>
      </c>
      <c r="C29" t="str">
        <f>IF(B29&lt;&gt;"",_xlfn.XLOOKUP(B29,'Client list'!B:B,'Client list'!A:A),"")</f>
        <v/>
      </c>
      <c r="F29" t="str">
        <f t="shared" si="1"/>
        <v/>
      </c>
      <c r="G29" s="3"/>
      <c r="H29" s="4" t="str">
        <f t="shared" si="2"/>
        <v/>
      </c>
      <c r="I29" t="str">
        <f t="shared" si="3"/>
        <v/>
      </c>
      <c r="J29" s="2"/>
      <c r="K29" t="str">
        <f t="shared" si="4"/>
        <v/>
      </c>
    </row>
    <row r="30" spans="1:11">
      <c r="A30" t="str">
        <f t="shared" si="0"/>
        <v/>
      </c>
      <c r="C30" t="str">
        <f>IF(B30&lt;&gt;"",_xlfn.XLOOKUP(B30,'Client list'!B:B,'Client list'!A:A),"")</f>
        <v/>
      </c>
      <c r="F30" t="str">
        <f t="shared" si="1"/>
        <v/>
      </c>
      <c r="G30" s="3"/>
      <c r="H30" s="4" t="str">
        <f t="shared" si="2"/>
        <v/>
      </c>
      <c r="I30" t="str">
        <f t="shared" si="3"/>
        <v/>
      </c>
      <c r="J30" s="2"/>
      <c r="K30" t="str">
        <f t="shared" si="4"/>
        <v/>
      </c>
    </row>
    <row r="31" spans="1:11">
      <c r="A31" t="str">
        <f t="shared" si="0"/>
        <v/>
      </c>
      <c r="C31" t="str">
        <f>IF(B31&lt;&gt;"",_xlfn.XLOOKUP(B31,'Client list'!B:B,'Client list'!A:A),"")</f>
        <v/>
      </c>
      <c r="F31" t="str">
        <f t="shared" si="1"/>
        <v/>
      </c>
      <c r="G31" s="3"/>
      <c r="H31" s="4" t="str">
        <f t="shared" si="2"/>
        <v/>
      </c>
      <c r="I31" t="str">
        <f t="shared" si="3"/>
        <v/>
      </c>
      <c r="J31" s="2"/>
      <c r="K31" t="str">
        <f t="shared" si="4"/>
        <v/>
      </c>
    </row>
    <row r="32" spans="1:11">
      <c r="A32" t="str">
        <f t="shared" si="0"/>
        <v/>
      </c>
      <c r="C32" t="str">
        <f>IF(B32&lt;&gt;"",_xlfn.XLOOKUP(B32,'Client list'!B:B,'Client list'!A:A),"")</f>
        <v/>
      </c>
      <c r="F32" t="str">
        <f t="shared" si="1"/>
        <v/>
      </c>
      <c r="G32" s="3"/>
      <c r="H32" s="4" t="str">
        <f t="shared" si="2"/>
        <v/>
      </c>
      <c r="I32" t="str">
        <f t="shared" si="3"/>
        <v/>
      </c>
      <c r="J32" s="2"/>
      <c r="K32" t="str">
        <f t="shared" si="4"/>
        <v/>
      </c>
    </row>
    <row r="33" spans="1:11">
      <c r="A33" t="str">
        <f t="shared" si="0"/>
        <v/>
      </c>
      <c r="C33" t="str">
        <f>IF(B33&lt;&gt;"",_xlfn.XLOOKUP(B33,'Client list'!B:B,'Client list'!A:A),"")</f>
        <v/>
      </c>
      <c r="F33" t="str">
        <f t="shared" si="1"/>
        <v/>
      </c>
      <c r="G33" s="3"/>
      <c r="H33" s="4" t="str">
        <f t="shared" si="2"/>
        <v/>
      </c>
      <c r="I33" t="str">
        <f t="shared" si="3"/>
        <v/>
      </c>
      <c r="J33" s="2"/>
      <c r="K33" t="str">
        <f t="shared" si="4"/>
        <v/>
      </c>
    </row>
    <row r="34" spans="1:11">
      <c r="A34" t="str">
        <f t="shared" si="0"/>
        <v/>
      </c>
      <c r="C34" t="str">
        <f>IF(B34&lt;&gt;"",_xlfn.XLOOKUP(B34,'Client list'!B:B,'Client list'!A:A),"")</f>
        <v/>
      </c>
      <c r="F34" t="str">
        <f t="shared" si="1"/>
        <v/>
      </c>
      <c r="G34" s="3"/>
      <c r="H34" s="4" t="str">
        <f t="shared" si="2"/>
        <v/>
      </c>
      <c r="I34" t="str">
        <f t="shared" si="3"/>
        <v/>
      </c>
      <c r="J34" s="2"/>
      <c r="K34" t="str">
        <f t="shared" si="4"/>
        <v/>
      </c>
    </row>
    <row r="35" spans="1:11">
      <c r="A35" t="str">
        <f t="shared" si="0"/>
        <v/>
      </c>
      <c r="C35" t="str">
        <f>IF(B35&lt;&gt;"",_xlfn.XLOOKUP(B35,'Client list'!B:B,'Client list'!A:A),"")</f>
        <v/>
      </c>
      <c r="F35" t="str">
        <f t="shared" si="1"/>
        <v/>
      </c>
      <c r="G35" s="3"/>
      <c r="H35" s="4" t="str">
        <f t="shared" si="2"/>
        <v/>
      </c>
      <c r="I35" t="str">
        <f t="shared" si="3"/>
        <v/>
      </c>
      <c r="J35" s="2"/>
      <c r="K35" t="str">
        <f t="shared" si="4"/>
        <v/>
      </c>
    </row>
    <row r="36" spans="1:11">
      <c r="A36" t="str">
        <f t="shared" si="0"/>
        <v/>
      </c>
      <c r="C36" t="str">
        <f>IF(B36&lt;&gt;"",_xlfn.XLOOKUP(B36,'Client list'!B:B,'Client list'!A:A),"")</f>
        <v/>
      </c>
      <c r="F36" t="str">
        <f t="shared" si="1"/>
        <v/>
      </c>
      <c r="G36" s="3"/>
      <c r="H36" s="4" t="str">
        <f t="shared" si="2"/>
        <v/>
      </c>
      <c r="I36" t="str">
        <f t="shared" si="3"/>
        <v/>
      </c>
      <c r="J36" s="2"/>
      <c r="K36" t="str">
        <f t="shared" si="4"/>
        <v/>
      </c>
    </row>
    <row r="37" spans="1:11">
      <c r="A37" t="str">
        <f t="shared" si="0"/>
        <v/>
      </c>
      <c r="C37" t="str">
        <f>IF(B37&lt;&gt;"",_xlfn.XLOOKUP(B37,'Client list'!B:B,'Client list'!A:A),"")</f>
        <v/>
      </c>
      <c r="F37" t="str">
        <f t="shared" si="1"/>
        <v/>
      </c>
      <c r="G37" s="3"/>
      <c r="H37" s="4" t="str">
        <f t="shared" si="2"/>
        <v/>
      </c>
      <c r="I37" t="str">
        <f t="shared" si="3"/>
        <v/>
      </c>
      <c r="J37" s="2"/>
      <c r="K37" t="str">
        <f t="shared" si="4"/>
        <v/>
      </c>
    </row>
    <row r="38" spans="1:11">
      <c r="A38" t="str">
        <f t="shared" si="0"/>
        <v/>
      </c>
      <c r="C38" t="str">
        <f>IF(B38&lt;&gt;"",_xlfn.XLOOKUP(B38,'Client list'!B:B,'Client list'!A:A),"")</f>
        <v/>
      </c>
      <c r="F38" t="str">
        <f t="shared" si="1"/>
        <v/>
      </c>
      <c r="G38" s="3"/>
      <c r="H38" s="4" t="str">
        <f t="shared" si="2"/>
        <v/>
      </c>
      <c r="I38" t="str">
        <f t="shared" si="3"/>
        <v/>
      </c>
      <c r="J38" s="2"/>
      <c r="K38" t="str">
        <f t="shared" si="4"/>
        <v/>
      </c>
    </row>
    <row r="39" spans="1:11">
      <c r="A39" t="str">
        <f t="shared" si="0"/>
        <v/>
      </c>
      <c r="C39" t="str">
        <f>IF(B39&lt;&gt;"",_xlfn.XLOOKUP(B39,'Client list'!B:B,'Client list'!A:A),"")</f>
        <v/>
      </c>
      <c r="F39" t="str">
        <f t="shared" si="1"/>
        <v/>
      </c>
      <c r="G39" s="3"/>
      <c r="H39" s="4" t="str">
        <f t="shared" si="2"/>
        <v/>
      </c>
      <c r="I39" t="str">
        <f t="shared" si="3"/>
        <v/>
      </c>
      <c r="J39" s="2"/>
      <c r="K39" t="str">
        <f t="shared" si="4"/>
        <v/>
      </c>
    </row>
    <row r="40" spans="1:11">
      <c r="A40" t="str">
        <f t="shared" si="0"/>
        <v/>
      </c>
      <c r="C40" t="str">
        <f>IF(B40&lt;&gt;"",_xlfn.XLOOKUP(B40,'Client list'!B:B,'Client list'!A:A),"")</f>
        <v/>
      </c>
      <c r="F40" t="str">
        <f t="shared" si="1"/>
        <v/>
      </c>
      <c r="G40" s="3"/>
      <c r="H40" s="4" t="str">
        <f t="shared" si="2"/>
        <v/>
      </c>
      <c r="I40" t="str">
        <f t="shared" si="3"/>
        <v/>
      </c>
      <c r="J40" s="2"/>
      <c r="K40" t="str">
        <f t="shared" si="4"/>
        <v/>
      </c>
    </row>
    <row r="41" spans="1:11">
      <c r="A41" t="str">
        <f t="shared" si="0"/>
        <v/>
      </c>
      <c r="C41" t="str">
        <f>IF(B41&lt;&gt;"",_xlfn.XLOOKUP(B41,'Client list'!B:B,'Client list'!A:A),"")</f>
        <v/>
      </c>
      <c r="F41" t="str">
        <f t="shared" si="1"/>
        <v/>
      </c>
      <c r="G41" s="3"/>
      <c r="H41" s="4" t="str">
        <f t="shared" si="2"/>
        <v/>
      </c>
      <c r="I41" t="str">
        <f t="shared" si="3"/>
        <v/>
      </c>
      <c r="J41" s="2"/>
      <c r="K41" t="str">
        <f t="shared" si="4"/>
        <v/>
      </c>
    </row>
    <row r="42" spans="1:11">
      <c r="A42" t="str">
        <f t="shared" si="0"/>
        <v/>
      </c>
      <c r="C42" t="str">
        <f>IF(B42&lt;&gt;"",_xlfn.XLOOKUP(B42,'Client list'!B:B,'Client list'!A:A),"")</f>
        <v/>
      </c>
      <c r="F42" t="str">
        <f t="shared" si="1"/>
        <v/>
      </c>
      <c r="G42" s="3"/>
      <c r="H42" s="4" t="str">
        <f t="shared" si="2"/>
        <v/>
      </c>
      <c r="I42" t="str">
        <f t="shared" si="3"/>
        <v/>
      </c>
      <c r="J42" s="2"/>
      <c r="K42" t="str">
        <f t="shared" si="4"/>
        <v/>
      </c>
    </row>
    <row r="43" spans="1:11">
      <c r="A43" t="str">
        <f t="shared" si="0"/>
        <v/>
      </c>
      <c r="C43" t="str">
        <f>IF(B43&lt;&gt;"",_xlfn.XLOOKUP(B43,'Client list'!B:B,'Client list'!A:A),"")</f>
        <v/>
      </c>
      <c r="F43" t="str">
        <f t="shared" si="1"/>
        <v/>
      </c>
      <c r="G43" s="3"/>
      <c r="H43" s="4" t="str">
        <f t="shared" si="2"/>
        <v/>
      </c>
      <c r="I43" t="str">
        <f t="shared" si="3"/>
        <v/>
      </c>
      <c r="J43" s="2"/>
      <c r="K43" t="str">
        <f t="shared" si="4"/>
        <v/>
      </c>
    </row>
    <row r="44" spans="1:11">
      <c r="A44" t="str">
        <f t="shared" si="0"/>
        <v/>
      </c>
      <c r="C44" t="str">
        <f>IF(B44&lt;&gt;"",_xlfn.XLOOKUP(B44,'Client list'!B:B,'Client list'!A:A),"")</f>
        <v/>
      </c>
      <c r="F44" t="str">
        <f t="shared" si="1"/>
        <v/>
      </c>
      <c r="G44" s="3"/>
      <c r="H44" s="4" t="str">
        <f t="shared" si="2"/>
        <v/>
      </c>
      <c r="I44" t="str">
        <f t="shared" si="3"/>
        <v/>
      </c>
      <c r="J44" s="2"/>
      <c r="K44" t="str">
        <f t="shared" si="4"/>
        <v/>
      </c>
    </row>
    <row r="45" spans="1:11">
      <c r="A45" t="str">
        <f t="shared" si="0"/>
        <v/>
      </c>
      <c r="C45" t="str">
        <f>IF(B45&lt;&gt;"",_xlfn.XLOOKUP(B45,'Client list'!B:B,'Client list'!A:A),"")</f>
        <v/>
      </c>
      <c r="F45" t="str">
        <f t="shared" si="1"/>
        <v/>
      </c>
      <c r="G45" s="3"/>
      <c r="H45" s="4" t="str">
        <f t="shared" si="2"/>
        <v/>
      </c>
      <c r="I45" t="str">
        <f t="shared" si="3"/>
        <v/>
      </c>
      <c r="J45" s="2"/>
      <c r="K45" t="str">
        <f t="shared" si="4"/>
        <v/>
      </c>
    </row>
    <row r="46" spans="1:11">
      <c r="A46" t="str">
        <f t="shared" si="0"/>
        <v/>
      </c>
      <c r="C46" t="str">
        <f>IF(B46&lt;&gt;"",_xlfn.XLOOKUP(B46,'Client list'!B:B,'Client list'!A:A),"")</f>
        <v/>
      </c>
      <c r="F46" t="str">
        <f t="shared" si="1"/>
        <v/>
      </c>
      <c r="G46" s="3"/>
      <c r="H46" s="4" t="str">
        <f t="shared" si="2"/>
        <v/>
      </c>
      <c r="I46" t="str">
        <f t="shared" si="3"/>
        <v/>
      </c>
      <c r="J46" s="2"/>
      <c r="K46" t="str">
        <f t="shared" si="4"/>
        <v/>
      </c>
    </row>
    <row r="47" spans="1:11">
      <c r="A47" t="str">
        <f t="shared" si="0"/>
        <v/>
      </c>
      <c r="C47" t="str">
        <f>IF(B47&lt;&gt;"",_xlfn.XLOOKUP(B47,'Client list'!B:B,'Client list'!A:A),"")</f>
        <v/>
      </c>
      <c r="F47" t="str">
        <f t="shared" si="1"/>
        <v/>
      </c>
      <c r="G47" s="3"/>
      <c r="H47" s="4" t="str">
        <f t="shared" si="2"/>
        <v/>
      </c>
      <c r="I47" t="str">
        <f t="shared" si="3"/>
        <v/>
      </c>
      <c r="J47" s="2"/>
      <c r="K47" t="str">
        <f t="shared" si="4"/>
        <v/>
      </c>
    </row>
    <row r="48" spans="1:11">
      <c r="A48" t="str">
        <f t="shared" si="0"/>
        <v/>
      </c>
      <c r="C48" t="str">
        <f>IF(B48&lt;&gt;"",_xlfn.XLOOKUP(B48,'Client list'!B:B,'Client list'!A:A),"")</f>
        <v/>
      </c>
      <c r="F48" t="str">
        <f t="shared" si="1"/>
        <v/>
      </c>
      <c r="G48" s="3"/>
      <c r="H48" s="4" t="str">
        <f t="shared" si="2"/>
        <v/>
      </c>
      <c r="I48" t="str">
        <f t="shared" si="3"/>
        <v/>
      </c>
      <c r="J48" s="2"/>
      <c r="K48" t="str">
        <f t="shared" si="4"/>
        <v/>
      </c>
    </row>
    <row r="49" spans="1:11">
      <c r="A49" t="str">
        <f t="shared" si="0"/>
        <v/>
      </c>
      <c r="C49" t="str">
        <f>IF(B49&lt;&gt;"",_xlfn.XLOOKUP(B49,'Client list'!B:B,'Client list'!A:A),"")</f>
        <v/>
      </c>
      <c r="F49" t="str">
        <f t="shared" si="1"/>
        <v/>
      </c>
      <c r="G49" s="3"/>
      <c r="H49" s="4" t="str">
        <f t="shared" si="2"/>
        <v/>
      </c>
      <c r="I49" t="str">
        <f t="shared" si="3"/>
        <v/>
      </c>
      <c r="J49" s="2"/>
      <c r="K49" t="str">
        <f t="shared" si="4"/>
        <v/>
      </c>
    </row>
    <row r="50" spans="1:11">
      <c r="A50" t="str">
        <f t="shared" si="0"/>
        <v/>
      </c>
      <c r="C50" t="str">
        <f>IF(B50&lt;&gt;"",_xlfn.XLOOKUP(B50,'Client list'!B:B,'Client list'!A:A),"")</f>
        <v/>
      </c>
      <c r="F50" t="str">
        <f t="shared" si="1"/>
        <v/>
      </c>
      <c r="G50" s="3"/>
      <c r="H50" s="4" t="str">
        <f t="shared" si="2"/>
        <v/>
      </c>
      <c r="I50" t="str">
        <f t="shared" si="3"/>
        <v/>
      </c>
      <c r="J50" s="2"/>
      <c r="K50" t="str">
        <f t="shared" si="4"/>
        <v/>
      </c>
    </row>
    <row r="51" spans="1:11">
      <c r="A51" t="str">
        <f t="shared" si="0"/>
        <v/>
      </c>
      <c r="C51" t="str">
        <f>IF(B51&lt;&gt;"",_xlfn.XLOOKUP(B51,'Client list'!B:B,'Client list'!A:A),"")</f>
        <v/>
      </c>
      <c r="F51" t="str">
        <f t="shared" si="1"/>
        <v/>
      </c>
      <c r="G51" s="3"/>
      <c r="H51" s="4" t="str">
        <f t="shared" si="2"/>
        <v/>
      </c>
      <c r="I51" t="str">
        <f t="shared" si="3"/>
        <v/>
      </c>
      <c r="J51" s="2"/>
      <c r="K51" t="str">
        <f t="shared" si="4"/>
        <v/>
      </c>
    </row>
    <row r="52" spans="1:11">
      <c r="A52" t="str">
        <f t="shared" si="0"/>
        <v/>
      </c>
      <c r="C52" t="str">
        <f>IF(B52&lt;&gt;"",_xlfn.XLOOKUP(B52,'Client list'!B:B,'Client list'!A:A),"")</f>
        <v/>
      </c>
      <c r="F52" t="str">
        <f t="shared" si="1"/>
        <v/>
      </c>
      <c r="G52" s="3"/>
      <c r="H52" s="4" t="str">
        <f t="shared" si="2"/>
        <v/>
      </c>
      <c r="I52" t="str">
        <f t="shared" si="3"/>
        <v/>
      </c>
      <c r="J52" s="2"/>
      <c r="K52" t="str">
        <f t="shared" si="4"/>
        <v/>
      </c>
    </row>
    <row r="53" spans="1:11">
      <c r="A53" t="str">
        <f t="shared" si="0"/>
        <v/>
      </c>
      <c r="C53" t="str">
        <f>IF(B53&lt;&gt;"",_xlfn.XLOOKUP(B53,'Client list'!B:B,'Client list'!A:A),"")</f>
        <v/>
      </c>
      <c r="F53" t="str">
        <f t="shared" si="1"/>
        <v/>
      </c>
      <c r="G53" s="3"/>
      <c r="H53" s="4" t="str">
        <f t="shared" si="2"/>
        <v/>
      </c>
      <c r="I53" t="str">
        <f t="shared" si="3"/>
        <v/>
      </c>
      <c r="J53" s="2"/>
      <c r="K53" t="str">
        <f t="shared" si="4"/>
        <v/>
      </c>
    </row>
    <row r="54" spans="1:11">
      <c r="A54" t="str">
        <f t="shared" si="0"/>
        <v/>
      </c>
      <c r="C54" t="str">
        <f>IF(B54&lt;&gt;"",_xlfn.XLOOKUP(B54,'Client list'!B:B,'Client list'!A:A),"")</f>
        <v/>
      </c>
      <c r="F54" t="str">
        <f t="shared" si="1"/>
        <v/>
      </c>
      <c r="G54" s="3"/>
      <c r="H54" s="4" t="str">
        <f t="shared" si="2"/>
        <v/>
      </c>
      <c r="I54" t="str">
        <f t="shared" si="3"/>
        <v/>
      </c>
      <c r="J54" s="2"/>
      <c r="K54" t="str">
        <f t="shared" si="4"/>
        <v/>
      </c>
    </row>
    <row r="55" spans="1:11">
      <c r="A55" t="str">
        <f t="shared" si="0"/>
        <v/>
      </c>
      <c r="C55" t="str">
        <f>IF(B55&lt;&gt;"",_xlfn.XLOOKUP(B55,'Client list'!B:B,'Client list'!A:A),"")</f>
        <v/>
      </c>
      <c r="F55" t="str">
        <f t="shared" si="1"/>
        <v/>
      </c>
      <c r="G55" s="3"/>
      <c r="H55" s="4" t="str">
        <f t="shared" si="2"/>
        <v/>
      </c>
      <c r="I55" t="str">
        <f t="shared" si="3"/>
        <v/>
      </c>
      <c r="J55" s="2"/>
      <c r="K55" t="str">
        <f t="shared" si="4"/>
        <v/>
      </c>
    </row>
    <row r="56" spans="1:11">
      <c r="A56" t="str">
        <f t="shared" si="0"/>
        <v/>
      </c>
      <c r="C56" t="str">
        <f>IF(B56&lt;&gt;"",_xlfn.XLOOKUP(B56,'Client list'!B:B,'Client list'!A:A),"")</f>
        <v/>
      </c>
      <c r="F56" t="str">
        <f t="shared" si="1"/>
        <v/>
      </c>
      <c r="G56" s="3"/>
      <c r="H56" s="4" t="str">
        <f t="shared" si="2"/>
        <v/>
      </c>
      <c r="I56" t="str">
        <f t="shared" si="3"/>
        <v/>
      </c>
      <c r="J56" s="2"/>
      <c r="K56" t="str">
        <f t="shared" si="4"/>
        <v/>
      </c>
    </row>
    <row r="57" spans="1:11">
      <c r="A57" t="str">
        <f t="shared" si="0"/>
        <v/>
      </c>
      <c r="C57" t="str">
        <f>IF(B57&lt;&gt;"",_xlfn.XLOOKUP(B57,'Client list'!B:B,'Client list'!A:A),"")</f>
        <v/>
      </c>
      <c r="F57" t="str">
        <f t="shared" si="1"/>
        <v/>
      </c>
      <c r="G57" s="3"/>
      <c r="H57" s="4" t="str">
        <f t="shared" si="2"/>
        <v/>
      </c>
      <c r="I57" t="str">
        <f t="shared" si="3"/>
        <v/>
      </c>
      <c r="J57" s="2"/>
      <c r="K57" t="str">
        <f t="shared" si="4"/>
        <v/>
      </c>
    </row>
    <row r="58" spans="1:11">
      <c r="A58" t="str">
        <f t="shared" si="0"/>
        <v/>
      </c>
      <c r="C58" t="str">
        <f>IF(B58&lt;&gt;"",_xlfn.XLOOKUP(B58,'Client list'!B:B,'Client list'!A:A),"")</f>
        <v/>
      </c>
      <c r="F58" t="str">
        <f t="shared" si="1"/>
        <v/>
      </c>
      <c r="G58" s="3"/>
      <c r="H58" s="4" t="str">
        <f t="shared" si="2"/>
        <v/>
      </c>
      <c r="I58" t="str">
        <f t="shared" si="3"/>
        <v/>
      </c>
      <c r="J58" s="2"/>
      <c r="K58" t="str">
        <f t="shared" si="4"/>
        <v/>
      </c>
    </row>
    <row r="59" spans="1:11">
      <c r="A59" t="str">
        <f t="shared" si="0"/>
        <v/>
      </c>
      <c r="C59" t="str">
        <f>IF(B59&lt;&gt;"",_xlfn.XLOOKUP(B59,'Client list'!B:B,'Client list'!A:A),"")</f>
        <v/>
      </c>
      <c r="F59" t="str">
        <f t="shared" si="1"/>
        <v/>
      </c>
      <c r="G59" s="3"/>
      <c r="H59" s="4" t="str">
        <f t="shared" si="2"/>
        <v/>
      </c>
      <c r="I59" t="str">
        <f t="shared" si="3"/>
        <v/>
      </c>
      <c r="J59" s="2"/>
      <c r="K59" t="str">
        <f t="shared" si="4"/>
        <v/>
      </c>
    </row>
    <row r="60" spans="1:11">
      <c r="A60" t="str">
        <f t="shared" si="0"/>
        <v/>
      </c>
      <c r="C60" t="str">
        <f>IF(B60&lt;&gt;"",_xlfn.XLOOKUP(B60,'Client list'!B:B,'Client list'!A:A),"")</f>
        <v/>
      </c>
      <c r="F60" t="str">
        <f t="shared" si="1"/>
        <v/>
      </c>
      <c r="G60" s="3"/>
      <c r="H60" s="4" t="str">
        <f t="shared" si="2"/>
        <v/>
      </c>
      <c r="I60" t="str">
        <f t="shared" si="3"/>
        <v/>
      </c>
      <c r="J60" s="2"/>
      <c r="K60" t="str">
        <f t="shared" si="4"/>
        <v/>
      </c>
    </row>
    <row r="61" spans="1:11">
      <c r="A61" t="str">
        <f t="shared" si="0"/>
        <v/>
      </c>
      <c r="C61" t="str">
        <f>IF(B61&lt;&gt;"",_xlfn.XLOOKUP(B61,'Client list'!B:B,'Client list'!A:A),"")</f>
        <v/>
      </c>
      <c r="F61" t="str">
        <f t="shared" si="1"/>
        <v/>
      </c>
      <c r="G61" s="3"/>
      <c r="H61" s="4" t="str">
        <f t="shared" si="2"/>
        <v/>
      </c>
      <c r="I61" t="str">
        <f t="shared" si="3"/>
        <v/>
      </c>
      <c r="J61" s="2"/>
      <c r="K61" t="str">
        <f t="shared" si="4"/>
        <v/>
      </c>
    </row>
    <row r="62" spans="1:11">
      <c r="A62" t="str">
        <f t="shared" si="0"/>
        <v/>
      </c>
      <c r="C62" t="str">
        <f>IF(B62&lt;&gt;"",_xlfn.XLOOKUP(B62,'Client list'!B:B,'Client list'!A:A),"")</f>
        <v/>
      </c>
      <c r="F62" t="str">
        <f t="shared" si="1"/>
        <v/>
      </c>
      <c r="G62" s="3"/>
      <c r="H62" s="4" t="str">
        <f t="shared" si="2"/>
        <v/>
      </c>
      <c r="I62" t="str">
        <f t="shared" si="3"/>
        <v/>
      </c>
      <c r="J62" s="2"/>
      <c r="K62" t="str">
        <f t="shared" si="4"/>
        <v/>
      </c>
    </row>
    <row r="63" spans="1:11">
      <c r="A63" t="str">
        <f t="shared" si="0"/>
        <v/>
      </c>
      <c r="C63" t="str">
        <f>IF(B63&lt;&gt;"",_xlfn.XLOOKUP(B63,'Client list'!B:B,'Client list'!A:A),"")</f>
        <v/>
      </c>
      <c r="F63" t="str">
        <f t="shared" si="1"/>
        <v/>
      </c>
      <c r="G63" s="3"/>
      <c r="H63" s="4" t="str">
        <f t="shared" si="2"/>
        <v/>
      </c>
      <c r="I63" t="str">
        <f t="shared" si="3"/>
        <v/>
      </c>
      <c r="J63" s="2"/>
      <c r="K63" t="str">
        <f t="shared" si="4"/>
        <v/>
      </c>
    </row>
    <row r="64" spans="1:11">
      <c r="A64" t="str">
        <f t="shared" si="0"/>
        <v/>
      </c>
      <c r="C64" t="str">
        <f>IF(B64&lt;&gt;"",_xlfn.XLOOKUP(B64,'Client list'!B:B,'Client list'!A:A),"")</f>
        <v/>
      </c>
      <c r="F64" t="str">
        <f t="shared" si="1"/>
        <v/>
      </c>
      <c r="G64" s="3"/>
      <c r="H64" s="4" t="str">
        <f t="shared" si="2"/>
        <v/>
      </c>
      <c r="I64" t="str">
        <f t="shared" si="3"/>
        <v/>
      </c>
      <c r="J64" s="2"/>
      <c r="K64" t="str">
        <f t="shared" si="4"/>
        <v/>
      </c>
    </row>
    <row r="65" spans="1:11">
      <c r="A65" t="str">
        <f t="shared" si="0"/>
        <v/>
      </c>
      <c r="C65" t="str">
        <f>IF(B65&lt;&gt;"",_xlfn.XLOOKUP(B65,'Client list'!B:B,'Client list'!A:A),"")</f>
        <v/>
      </c>
      <c r="F65" t="str">
        <f t="shared" si="1"/>
        <v/>
      </c>
      <c r="G65" s="3"/>
      <c r="H65" s="4" t="str">
        <f t="shared" si="2"/>
        <v/>
      </c>
      <c r="I65" t="str">
        <f t="shared" si="3"/>
        <v/>
      </c>
      <c r="J65" s="2"/>
      <c r="K65" t="str">
        <f t="shared" si="4"/>
        <v/>
      </c>
    </row>
    <row r="66" spans="1:11">
      <c r="A66" t="str">
        <f t="shared" si="0"/>
        <v/>
      </c>
      <c r="C66" t="str">
        <f>IF(B66&lt;&gt;"",_xlfn.XLOOKUP(B66,'Client list'!B:B,'Client list'!A:A),"")</f>
        <v/>
      </c>
      <c r="F66" t="str">
        <f t="shared" si="1"/>
        <v/>
      </c>
      <c r="G66" s="3"/>
      <c r="H66" s="4" t="str">
        <f t="shared" si="2"/>
        <v/>
      </c>
      <c r="I66" t="str">
        <f t="shared" si="3"/>
        <v/>
      </c>
      <c r="J66" s="2"/>
      <c r="K66" t="str">
        <f t="shared" si="4"/>
        <v/>
      </c>
    </row>
    <row r="67" spans="1:11">
      <c r="A67" t="str">
        <f t="shared" ref="A67:A130" si="5">IF(B67&lt;&gt;"","LN"&amp;ROW()-1,"")</f>
        <v/>
      </c>
      <c r="C67" t="str">
        <f>IF(B67&lt;&gt;"",_xlfn.XLOOKUP(B67,'Client list'!B:B,'Client list'!A:A),"")</f>
        <v/>
      </c>
      <c r="F67" t="str">
        <f t="shared" ref="F67:F130" si="6">IF(D67&lt;&gt;"",(D67+E67),"")</f>
        <v/>
      </c>
      <c r="G67" s="3"/>
      <c r="H67" s="4" t="str">
        <f t="shared" ref="H67:H130" si="7">IF(D67&lt;&gt;"",(D67*G67),"")</f>
        <v/>
      </c>
      <c r="I67" t="str">
        <f t="shared" ref="I67:I130" si="8">IF(D67&lt;&gt;"",(D67+H67),"")</f>
        <v/>
      </c>
      <c r="J67" s="2"/>
      <c r="K67" t="str">
        <f t="shared" ref="K67:K130" si="9">IF(D67&lt;&gt;"",(A67&amp;" | "&amp;B67&amp;" | "&amp;D67&amp;" | "&amp;H67&amp;" | "&amp;I67&amp;" | "&amp;J67),"")</f>
        <v/>
      </c>
    </row>
    <row r="68" spans="1:11">
      <c r="A68" t="str">
        <f t="shared" si="5"/>
        <v/>
      </c>
      <c r="C68" t="str">
        <f>IF(B68&lt;&gt;"",_xlfn.XLOOKUP(B68,'Client list'!B:B,'Client list'!A:A),"")</f>
        <v/>
      </c>
      <c r="F68" t="str">
        <f t="shared" si="6"/>
        <v/>
      </c>
      <c r="G68" s="3"/>
      <c r="H68" s="4" t="str">
        <f t="shared" si="7"/>
        <v/>
      </c>
      <c r="I68" t="str">
        <f t="shared" si="8"/>
        <v/>
      </c>
      <c r="J68" s="2"/>
      <c r="K68" t="str">
        <f t="shared" si="9"/>
        <v/>
      </c>
    </row>
    <row r="69" spans="1:11">
      <c r="A69" t="str">
        <f t="shared" si="5"/>
        <v/>
      </c>
      <c r="C69" t="str">
        <f>IF(B69&lt;&gt;"",_xlfn.XLOOKUP(B69,'Client list'!B:B,'Client list'!A:A),"")</f>
        <v/>
      </c>
      <c r="F69" t="str">
        <f t="shared" si="6"/>
        <v/>
      </c>
      <c r="G69" s="3"/>
      <c r="H69" s="4" t="str">
        <f t="shared" si="7"/>
        <v/>
      </c>
      <c r="I69" t="str">
        <f t="shared" si="8"/>
        <v/>
      </c>
      <c r="J69" s="2"/>
      <c r="K69" t="str">
        <f t="shared" si="9"/>
        <v/>
      </c>
    </row>
    <row r="70" spans="1:11">
      <c r="A70" t="str">
        <f t="shared" si="5"/>
        <v/>
      </c>
      <c r="C70" t="str">
        <f>IF(B70&lt;&gt;"",_xlfn.XLOOKUP(B70,'Client list'!B:B,'Client list'!A:A),"")</f>
        <v/>
      </c>
      <c r="F70" t="str">
        <f t="shared" si="6"/>
        <v/>
      </c>
      <c r="G70" s="3"/>
      <c r="H70" s="4" t="str">
        <f t="shared" si="7"/>
        <v/>
      </c>
      <c r="I70" t="str">
        <f t="shared" si="8"/>
        <v/>
      </c>
      <c r="J70" s="2"/>
      <c r="K70" t="str">
        <f t="shared" si="9"/>
        <v/>
      </c>
    </row>
    <row r="71" spans="1:11">
      <c r="A71" t="str">
        <f t="shared" si="5"/>
        <v/>
      </c>
      <c r="C71" t="str">
        <f>IF(B71&lt;&gt;"",_xlfn.XLOOKUP(B71,'Client list'!B:B,'Client list'!A:A),"")</f>
        <v/>
      </c>
      <c r="F71" t="str">
        <f t="shared" si="6"/>
        <v/>
      </c>
      <c r="G71" s="3"/>
      <c r="H71" s="4" t="str">
        <f t="shared" si="7"/>
        <v/>
      </c>
      <c r="I71" t="str">
        <f t="shared" si="8"/>
        <v/>
      </c>
      <c r="J71" s="2"/>
      <c r="K71" t="str">
        <f t="shared" si="9"/>
        <v/>
      </c>
    </row>
    <row r="72" spans="1:11">
      <c r="A72" t="str">
        <f t="shared" si="5"/>
        <v/>
      </c>
      <c r="C72" t="str">
        <f>IF(B72&lt;&gt;"",_xlfn.XLOOKUP(B72,'Client list'!B:B,'Client list'!A:A),"")</f>
        <v/>
      </c>
      <c r="F72" t="str">
        <f t="shared" si="6"/>
        <v/>
      </c>
      <c r="G72" s="3"/>
      <c r="H72" s="4" t="str">
        <f t="shared" si="7"/>
        <v/>
      </c>
      <c r="I72" t="str">
        <f t="shared" si="8"/>
        <v/>
      </c>
      <c r="J72" s="2"/>
      <c r="K72" t="str">
        <f t="shared" si="9"/>
        <v/>
      </c>
    </row>
    <row r="73" spans="1:11">
      <c r="A73" t="str">
        <f t="shared" si="5"/>
        <v/>
      </c>
      <c r="C73" t="str">
        <f>IF(B73&lt;&gt;"",_xlfn.XLOOKUP(B73,'Client list'!B:B,'Client list'!A:A),"")</f>
        <v/>
      </c>
      <c r="F73" t="str">
        <f t="shared" si="6"/>
        <v/>
      </c>
      <c r="G73" s="3"/>
      <c r="H73" s="4" t="str">
        <f t="shared" si="7"/>
        <v/>
      </c>
      <c r="I73" t="str">
        <f t="shared" si="8"/>
        <v/>
      </c>
      <c r="J73" s="2"/>
      <c r="K73" t="str">
        <f t="shared" si="9"/>
        <v/>
      </c>
    </row>
    <row r="74" spans="1:11">
      <c r="A74" t="str">
        <f t="shared" si="5"/>
        <v/>
      </c>
      <c r="C74" t="str">
        <f>IF(B74&lt;&gt;"",_xlfn.XLOOKUP(B74,'Client list'!B:B,'Client list'!A:A),"")</f>
        <v/>
      </c>
      <c r="F74" t="str">
        <f t="shared" si="6"/>
        <v/>
      </c>
      <c r="G74" s="3"/>
      <c r="H74" s="4" t="str">
        <f t="shared" si="7"/>
        <v/>
      </c>
      <c r="I74" t="str">
        <f t="shared" si="8"/>
        <v/>
      </c>
      <c r="J74" s="2"/>
      <c r="K74" t="str">
        <f t="shared" si="9"/>
        <v/>
      </c>
    </row>
    <row r="75" spans="1:11">
      <c r="A75" t="str">
        <f t="shared" si="5"/>
        <v/>
      </c>
      <c r="C75" t="str">
        <f>IF(B75&lt;&gt;"",_xlfn.XLOOKUP(B75,'Client list'!B:B,'Client list'!A:A),"")</f>
        <v/>
      </c>
      <c r="F75" t="str">
        <f t="shared" si="6"/>
        <v/>
      </c>
      <c r="G75" s="3"/>
      <c r="H75" s="4" t="str">
        <f t="shared" si="7"/>
        <v/>
      </c>
      <c r="I75" t="str">
        <f t="shared" si="8"/>
        <v/>
      </c>
      <c r="J75" s="2"/>
      <c r="K75" t="str">
        <f t="shared" si="9"/>
        <v/>
      </c>
    </row>
    <row r="76" spans="1:11">
      <c r="A76" t="str">
        <f t="shared" si="5"/>
        <v/>
      </c>
      <c r="C76" t="str">
        <f>IF(B76&lt;&gt;"",_xlfn.XLOOKUP(B76,'Client list'!B:B,'Client list'!A:A),"")</f>
        <v/>
      </c>
      <c r="F76" t="str">
        <f t="shared" si="6"/>
        <v/>
      </c>
      <c r="G76" s="3"/>
      <c r="H76" s="4" t="str">
        <f t="shared" si="7"/>
        <v/>
      </c>
      <c r="I76" t="str">
        <f t="shared" si="8"/>
        <v/>
      </c>
      <c r="J76" s="2"/>
      <c r="K76" t="str">
        <f t="shared" si="9"/>
        <v/>
      </c>
    </row>
    <row r="77" spans="1:11">
      <c r="A77" t="str">
        <f t="shared" si="5"/>
        <v/>
      </c>
      <c r="C77" t="str">
        <f>IF(B77&lt;&gt;"",_xlfn.XLOOKUP(B77,'Client list'!B:B,'Client list'!A:A),"")</f>
        <v/>
      </c>
      <c r="F77" t="str">
        <f t="shared" si="6"/>
        <v/>
      </c>
      <c r="G77" s="3"/>
      <c r="H77" s="4" t="str">
        <f t="shared" si="7"/>
        <v/>
      </c>
      <c r="I77" t="str">
        <f t="shared" si="8"/>
        <v/>
      </c>
      <c r="J77" s="2"/>
      <c r="K77" t="str">
        <f t="shared" si="9"/>
        <v/>
      </c>
    </row>
    <row r="78" spans="1:11">
      <c r="A78" t="str">
        <f t="shared" si="5"/>
        <v/>
      </c>
      <c r="C78" t="str">
        <f>IF(B78&lt;&gt;"",_xlfn.XLOOKUP(B78,'Client list'!B:B,'Client list'!A:A),"")</f>
        <v/>
      </c>
      <c r="F78" t="str">
        <f t="shared" si="6"/>
        <v/>
      </c>
      <c r="G78" s="3"/>
      <c r="H78" s="4" t="str">
        <f t="shared" si="7"/>
        <v/>
      </c>
      <c r="I78" t="str">
        <f t="shared" si="8"/>
        <v/>
      </c>
      <c r="J78" s="2"/>
      <c r="K78" t="str">
        <f t="shared" si="9"/>
        <v/>
      </c>
    </row>
    <row r="79" spans="1:11">
      <c r="A79" t="str">
        <f t="shared" si="5"/>
        <v/>
      </c>
      <c r="C79" t="str">
        <f>IF(B79&lt;&gt;"",_xlfn.XLOOKUP(B79,'Client list'!B:B,'Client list'!A:A),"")</f>
        <v/>
      </c>
      <c r="F79" t="str">
        <f t="shared" si="6"/>
        <v/>
      </c>
      <c r="G79" s="3"/>
      <c r="H79" s="4" t="str">
        <f t="shared" si="7"/>
        <v/>
      </c>
      <c r="I79" t="str">
        <f t="shared" si="8"/>
        <v/>
      </c>
      <c r="J79" s="2"/>
      <c r="K79" t="str">
        <f t="shared" si="9"/>
        <v/>
      </c>
    </row>
    <row r="80" spans="1:11">
      <c r="A80" t="str">
        <f t="shared" si="5"/>
        <v/>
      </c>
      <c r="C80" t="str">
        <f>IF(B80&lt;&gt;"",_xlfn.XLOOKUP(B80,'Client list'!B:B,'Client list'!A:A),"")</f>
        <v/>
      </c>
      <c r="F80" t="str">
        <f t="shared" si="6"/>
        <v/>
      </c>
      <c r="G80" s="3"/>
      <c r="H80" s="4" t="str">
        <f t="shared" si="7"/>
        <v/>
      </c>
      <c r="I80" t="str">
        <f t="shared" si="8"/>
        <v/>
      </c>
      <c r="J80" s="2"/>
      <c r="K80" t="str">
        <f t="shared" si="9"/>
        <v/>
      </c>
    </row>
    <row r="81" spans="1:11">
      <c r="A81" t="str">
        <f t="shared" si="5"/>
        <v/>
      </c>
      <c r="C81" t="str">
        <f>IF(B81&lt;&gt;"",_xlfn.XLOOKUP(B81,'Client list'!B:B,'Client list'!A:A),"")</f>
        <v/>
      </c>
      <c r="F81" t="str">
        <f t="shared" si="6"/>
        <v/>
      </c>
      <c r="G81" s="3"/>
      <c r="H81" s="4" t="str">
        <f t="shared" si="7"/>
        <v/>
      </c>
      <c r="I81" t="str">
        <f t="shared" si="8"/>
        <v/>
      </c>
      <c r="J81" s="2"/>
      <c r="K81" t="str">
        <f t="shared" si="9"/>
        <v/>
      </c>
    </row>
    <row r="82" spans="1:11">
      <c r="A82" t="str">
        <f t="shared" si="5"/>
        <v/>
      </c>
      <c r="C82" t="str">
        <f>IF(B82&lt;&gt;"",_xlfn.XLOOKUP(B82,'Client list'!B:B,'Client list'!A:A),"")</f>
        <v/>
      </c>
      <c r="F82" t="str">
        <f t="shared" si="6"/>
        <v/>
      </c>
      <c r="G82" s="3"/>
      <c r="H82" s="4" t="str">
        <f t="shared" si="7"/>
        <v/>
      </c>
      <c r="I82" t="str">
        <f t="shared" si="8"/>
        <v/>
      </c>
      <c r="J82" s="2"/>
      <c r="K82" t="str">
        <f t="shared" si="9"/>
        <v/>
      </c>
    </row>
    <row r="83" spans="1:11">
      <c r="A83" t="str">
        <f t="shared" si="5"/>
        <v/>
      </c>
      <c r="C83" t="str">
        <f>IF(B83&lt;&gt;"",_xlfn.XLOOKUP(B83,'Client list'!B:B,'Client list'!A:A),"")</f>
        <v/>
      </c>
      <c r="F83" t="str">
        <f t="shared" si="6"/>
        <v/>
      </c>
      <c r="G83" s="3"/>
      <c r="H83" s="4" t="str">
        <f t="shared" si="7"/>
        <v/>
      </c>
      <c r="I83" t="str">
        <f t="shared" si="8"/>
        <v/>
      </c>
      <c r="J83" s="2"/>
      <c r="K83" t="str">
        <f t="shared" si="9"/>
        <v/>
      </c>
    </row>
    <row r="84" spans="1:11">
      <c r="A84" t="str">
        <f t="shared" si="5"/>
        <v/>
      </c>
      <c r="C84" t="str">
        <f>IF(B84&lt;&gt;"",_xlfn.XLOOKUP(B84,'Client list'!B:B,'Client list'!A:A),"")</f>
        <v/>
      </c>
      <c r="F84" t="str">
        <f t="shared" si="6"/>
        <v/>
      </c>
      <c r="G84" s="3"/>
      <c r="H84" s="4" t="str">
        <f t="shared" si="7"/>
        <v/>
      </c>
      <c r="I84" t="str">
        <f t="shared" si="8"/>
        <v/>
      </c>
      <c r="J84" s="2"/>
      <c r="K84" t="str">
        <f t="shared" si="9"/>
        <v/>
      </c>
    </row>
    <row r="85" spans="1:11">
      <c r="A85" t="str">
        <f t="shared" si="5"/>
        <v/>
      </c>
      <c r="C85" t="str">
        <f>IF(B85&lt;&gt;"",_xlfn.XLOOKUP(B85,'Client list'!B:B,'Client list'!A:A),"")</f>
        <v/>
      </c>
      <c r="F85" t="str">
        <f t="shared" si="6"/>
        <v/>
      </c>
      <c r="G85" s="3"/>
      <c r="H85" s="4" t="str">
        <f t="shared" si="7"/>
        <v/>
      </c>
      <c r="I85" t="str">
        <f t="shared" si="8"/>
        <v/>
      </c>
      <c r="J85" s="2"/>
      <c r="K85" t="str">
        <f t="shared" si="9"/>
        <v/>
      </c>
    </row>
    <row r="86" spans="1:11">
      <c r="A86" t="str">
        <f t="shared" si="5"/>
        <v/>
      </c>
      <c r="C86" t="str">
        <f>IF(B86&lt;&gt;"",_xlfn.XLOOKUP(B86,'Client list'!B:B,'Client list'!A:A),"")</f>
        <v/>
      </c>
      <c r="F86" t="str">
        <f t="shared" si="6"/>
        <v/>
      </c>
      <c r="G86" s="3"/>
      <c r="H86" s="4" t="str">
        <f t="shared" si="7"/>
        <v/>
      </c>
      <c r="I86" t="str">
        <f t="shared" si="8"/>
        <v/>
      </c>
      <c r="J86" s="2"/>
      <c r="K86" t="str">
        <f t="shared" si="9"/>
        <v/>
      </c>
    </row>
    <row r="87" spans="1:11">
      <c r="A87" t="str">
        <f t="shared" si="5"/>
        <v/>
      </c>
      <c r="C87" t="str">
        <f>IF(B87&lt;&gt;"",_xlfn.XLOOKUP(B87,'Client list'!B:B,'Client list'!A:A),"")</f>
        <v/>
      </c>
      <c r="F87" t="str">
        <f t="shared" si="6"/>
        <v/>
      </c>
      <c r="G87" s="3"/>
      <c r="H87" s="4" t="str">
        <f t="shared" si="7"/>
        <v/>
      </c>
      <c r="I87" t="str">
        <f t="shared" si="8"/>
        <v/>
      </c>
      <c r="J87" s="2"/>
      <c r="K87" t="str">
        <f t="shared" si="9"/>
        <v/>
      </c>
    </row>
    <row r="88" spans="1:11">
      <c r="A88" t="str">
        <f t="shared" si="5"/>
        <v/>
      </c>
      <c r="C88" t="str">
        <f>IF(B88&lt;&gt;"",_xlfn.XLOOKUP(B88,'Client list'!B:B,'Client list'!A:A),"")</f>
        <v/>
      </c>
      <c r="F88" t="str">
        <f t="shared" si="6"/>
        <v/>
      </c>
      <c r="G88" s="3"/>
      <c r="H88" s="4" t="str">
        <f t="shared" si="7"/>
        <v/>
      </c>
      <c r="I88" t="str">
        <f t="shared" si="8"/>
        <v/>
      </c>
      <c r="J88" s="2"/>
      <c r="K88" t="str">
        <f t="shared" si="9"/>
        <v/>
      </c>
    </row>
    <row r="89" spans="1:11">
      <c r="A89" t="str">
        <f t="shared" si="5"/>
        <v/>
      </c>
      <c r="C89" t="str">
        <f>IF(B89&lt;&gt;"",_xlfn.XLOOKUP(B89,'Client list'!B:B,'Client list'!A:A),"")</f>
        <v/>
      </c>
      <c r="F89" t="str">
        <f t="shared" si="6"/>
        <v/>
      </c>
      <c r="G89" s="3"/>
      <c r="H89" s="4" t="str">
        <f t="shared" si="7"/>
        <v/>
      </c>
      <c r="I89" t="str">
        <f t="shared" si="8"/>
        <v/>
      </c>
      <c r="J89" s="2"/>
      <c r="K89" t="str">
        <f t="shared" si="9"/>
        <v/>
      </c>
    </row>
    <row r="90" spans="1:11">
      <c r="A90" t="str">
        <f t="shared" si="5"/>
        <v/>
      </c>
      <c r="C90" t="str">
        <f>IF(B90&lt;&gt;"",_xlfn.XLOOKUP(B90,'Client list'!B:B,'Client list'!A:A),"")</f>
        <v/>
      </c>
      <c r="F90" t="str">
        <f t="shared" si="6"/>
        <v/>
      </c>
      <c r="G90" s="3"/>
      <c r="H90" s="4" t="str">
        <f t="shared" si="7"/>
        <v/>
      </c>
      <c r="I90" t="str">
        <f t="shared" si="8"/>
        <v/>
      </c>
      <c r="J90" s="2"/>
      <c r="K90" t="str">
        <f t="shared" si="9"/>
        <v/>
      </c>
    </row>
    <row r="91" spans="1:11">
      <c r="A91" t="str">
        <f t="shared" si="5"/>
        <v/>
      </c>
      <c r="C91" t="str">
        <f>IF(B91&lt;&gt;"",_xlfn.XLOOKUP(B91,'Client list'!B:B,'Client list'!A:A),"")</f>
        <v/>
      </c>
      <c r="F91" t="str">
        <f t="shared" si="6"/>
        <v/>
      </c>
      <c r="G91" s="3"/>
      <c r="H91" s="4" t="str">
        <f t="shared" si="7"/>
        <v/>
      </c>
      <c r="I91" t="str">
        <f t="shared" si="8"/>
        <v/>
      </c>
      <c r="J91" s="2"/>
      <c r="K91" t="str">
        <f t="shared" si="9"/>
        <v/>
      </c>
    </row>
    <row r="92" spans="1:11">
      <c r="A92" t="str">
        <f t="shared" si="5"/>
        <v/>
      </c>
      <c r="C92" t="str">
        <f>IF(B92&lt;&gt;"",_xlfn.XLOOKUP(B92,'Client list'!B:B,'Client list'!A:A),"")</f>
        <v/>
      </c>
      <c r="F92" t="str">
        <f t="shared" si="6"/>
        <v/>
      </c>
      <c r="G92" s="3"/>
      <c r="H92" s="4" t="str">
        <f t="shared" si="7"/>
        <v/>
      </c>
      <c r="I92" t="str">
        <f t="shared" si="8"/>
        <v/>
      </c>
      <c r="J92" s="2"/>
      <c r="K92" t="str">
        <f t="shared" si="9"/>
        <v/>
      </c>
    </row>
    <row r="93" spans="1:11">
      <c r="A93" t="str">
        <f t="shared" si="5"/>
        <v/>
      </c>
      <c r="C93" t="str">
        <f>IF(B93&lt;&gt;"",_xlfn.XLOOKUP(B93,'Client list'!B:B,'Client list'!A:A),"")</f>
        <v/>
      </c>
      <c r="F93" t="str">
        <f t="shared" si="6"/>
        <v/>
      </c>
      <c r="G93" s="3"/>
      <c r="H93" s="4" t="str">
        <f t="shared" si="7"/>
        <v/>
      </c>
      <c r="I93" t="str">
        <f t="shared" si="8"/>
        <v/>
      </c>
      <c r="J93" s="2"/>
      <c r="K93" t="str">
        <f t="shared" si="9"/>
        <v/>
      </c>
    </row>
    <row r="94" spans="1:11">
      <c r="A94" t="str">
        <f t="shared" si="5"/>
        <v/>
      </c>
      <c r="C94" t="str">
        <f>IF(B94&lt;&gt;"",_xlfn.XLOOKUP(B94,'Client list'!B:B,'Client list'!A:A),"")</f>
        <v/>
      </c>
      <c r="F94" t="str">
        <f t="shared" si="6"/>
        <v/>
      </c>
      <c r="G94" s="3"/>
      <c r="H94" s="4" t="str">
        <f t="shared" si="7"/>
        <v/>
      </c>
      <c r="I94" t="str">
        <f t="shared" si="8"/>
        <v/>
      </c>
      <c r="J94" s="2"/>
      <c r="K94" t="str">
        <f t="shared" si="9"/>
        <v/>
      </c>
    </row>
    <row r="95" spans="1:11">
      <c r="A95" t="str">
        <f t="shared" si="5"/>
        <v/>
      </c>
      <c r="C95" t="str">
        <f>IF(B95&lt;&gt;"",_xlfn.XLOOKUP(B95,'Client list'!B:B,'Client list'!A:A),"")</f>
        <v/>
      </c>
      <c r="F95" t="str">
        <f t="shared" si="6"/>
        <v/>
      </c>
      <c r="G95" s="3"/>
      <c r="H95" s="4" t="str">
        <f t="shared" si="7"/>
        <v/>
      </c>
      <c r="I95" t="str">
        <f t="shared" si="8"/>
        <v/>
      </c>
      <c r="J95" s="2"/>
      <c r="K95" t="str">
        <f t="shared" si="9"/>
        <v/>
      </c>
    </row>
    <row r="96" spans="1:11">
      <c r="A96" t="str">
        <f t="shared" si="5"/>
        <v/>
      </c>
      <c r="C96" t="str">
        <f>IF(B96&lt;&gt;"",_xlfn.XLOOKUP(B96,'Client list'!B:B,'Client list'!A:A),"")</f>
        <v/>
      </c>
      <c r="F96" t="str">
        <f t="shared" si="6"/>
        <v/>
      </c>
      <c r="G96" s="3"/>
      <c r="H96" s="4" t="str">
        <f t="shared" si="7"/>
        <v/>
      </c>
      <c r="I96" t="str">
        <f t="shared" si="8"/>
        <v/>
      </c>
      <c r="J96" s="2"/>
      <c r="K96" t="str">
        <f t="shared" si="9"/>
        <v/>
      </c>
    </row>
    <row r="97" spans="1:11">
      <c r="A97" t="str">
        <f t="shared" si="5"/>
        <v/>
      </c>
      <c r="C97" t="str">
        <f>IF(B97&lt;&gt;"",_xlfn.XLOOKUP(B97,'Client list'!B:B,'Client list'!A:A),"")</f>
        <v/>
      </c>
      <c r="F97" t="str">
        <f t="shared" si="6"/>
        <v/>
      </c>
      <c r="G97" s="3"/>
      <c r="H97" s="4" t="str">
        <f t="shared" si="7"/>
        <v/>
      </c>
      <c r="I97" t="str">
        <f t="shared" si="8"/>
        <v/>
      </c>
      <c r="J97" s="2"/>
      <c r="K97" t="str">
        <f t="shared" si="9"/>
        <v/>
      </c>
    </row>
    <row r="98" spans="1:11">
      <c r="A98" t="str">
        <f t="shared" si="5"/>
        <v/>
      </c>
      <c r="C98" t="str">
        <f>IF(B98&lt;&gt;"",_xlfn.XLOOKUP(B98,'Client list'!B:B,'Client list'!A:A),"")</f>
        <v/>
      </c>
      <c r="F98" t="str">
        <f t="shared" si="6"/>
        <v/>
      </c>
      <c r="G98" s="3"/>
      <c r="H98" s="4" t="str">
        <f t="shared" si="7"/>
        <v/>
      </c>
      <c r="I98" t="str">
        <f t="shared" si="8"/>
        <v/>
      </c>
      <c r="J98" s="2"/>
      <c r="K98" t="str">
        <f t="shared" si="9"/>
        <v/>
      </c>
    </row>
    <row r="99" spans="1:11">
      <c r="A99" t="str">
        <f t="shared" si="5"/>
        <v/>
      </c>
      <c r="C99" t="str">
        <f>IF(B99&lt;&gt;"",_xlfn.XLOOKUP(B99,'Client list'!B:B,'Client list'!A:A),"")</f>
        <v/>
      </c>
      <c r="F99" t="str">
        <f t="shared" si="6"/>
        <v/>
      </c>
      <c r="G99" s="3"/>
      <c r="H99" s="4" t="str">
        <f t="shared" si="7"/>
        <v/>
      </c>
      <c r="I99" t="str">
        <f t="shared" si="8"/>
        <v/>
      </c>
      <c r="J99" s="2"/>
      <c r="K99" t="str">
        <f t="shared" si="9"/>
        <v/>
      </c>
    </row>
    <row r="100" spans="1:11">
      <c r="A100" t="str">
        <f t="shared" si="5"/>
        <v/>
      </c>
      <c r="C100" t="str">
        <f>IF(B100&lt;&gt;"",_xlfn.XLOOKUP(B100,'Client list'!B:B,'Client list'!A:A),"")</f>
        <v/>
      </c>
      <c r="F100" t="str">
        <f t="shared" si="6"/>
        <v/>
      </c>
      <c r="G100" s="3"/>
      <c r="H100" s="4" t="str">
        <f t="shared" si="7"/>
        <v/>
      </c>
      <c r="I100" t="str">
        <f t="shared" si="8"/>
        <v/>
      </c>
      <c r="J100" s="2"/>
      <c r="K100" t="str">
        <f t="shared" si="9"/>
        <v/>
      </c>
    </row>
    <row r="101" spans="1:11">
      <c r="A101" t="str">
        <f t="shared" si="5"/>
        <v/>
      </c>
      <c r="C101" t="str">
        <f>IF(B101&lt;&gt;"",_xlfn.XLOOKUP(B101,'Client list'!B:B,'Client list'!A:A),"")</f>
        <v/>
      </c>
      <c r="F101" t="str">
        <f t="shared" si="6"/>
        <v/>
      </c>
      <c r="G101" s="3"/>
      <c r="H101" s="4" t="str">
        <f t="shared" si="7"/>
        <v/>
      </c>
      <c r="I101" t="str">
        <f t="shared" si="8"/>
        <v/>
      </c>
      <c r="J101" s="2"/>
      <c r="K101" t="str">
        <f t="shared" si="9"/>
        <v/>
      </c>
    </row>
    <row r="102" spans="1:11">
      <c r="A102" t="str">
        <f t="shared" si="5"/>
        <v/>
      </c>
      <c r="C102" t="str">
        <f>IF(B102&lt;&gt;"",_xlfn.XLOOKUP(B102,'Client list'!B:B,'Client list'!A:A),"")</f>
        <v/>
      </c>
      <c r="F102" t="str">
        <f t="shared" si="6"/>
        <v/>
      </c>
      <c r="G102" s="3"/>
      <c r="H102" s="4" t="str">
        <f t="shared" si="7"/>
        <v/>
      </c>
      <c r="I102" t="str">
        <f t="shared" si="8"/>
        <v/>
      </c>
      <c r="J102" s="2"/>
      <c r="K102" t="str">
        <f t="shared" si="9"/>
        <v/>
      </c>
    </row>
    <row r="103" spans="1:11">
      <c r="A103" t="str">
        <f t="shared" si="5"/>
        <v/>
      </c>
      <c r="C103" t="str">
        <f>IF(B103&lt;&gt;"",_xlfn.XLOOKUP(B103,'Client list'!B:B,'Client list'!A:A),"")</f>
        <v/>
      </c>
      <c r="F103" t="str">
        <f t="shared" si="6"/>
        <v/>
      </c>
      <c r="G103" s="3"/>
      <c r="H103" s="4" t="str">
        <f t="shared" si="7"/>
        <v/>
      </c>
      <c r="I103" t="str">
        <f t="shared" si="8"/>
        <v/>
      </c>
      <c r="J103" s="2"/>
      <c r="K103" t="str">
        <f t="shared" si="9"/>
        <v/>
      </c>
    </row>
    <row r="104" spans="1:11">
      <c r="A104" t="str">
        <f t="shared" si="5"/>
        <v/>
      </c>
      <c r="C104" t="str">
        <f>IF(B104&lt;&gt;"",_xlfn.XLOOKUP(B104,'Client list'!B:B,'Client list'!A:A),"")</f>
        <v/>
      </c>
      <c r="F104" t="str">
        <f t="shared" si="6"/>
        <v/>
      </c>
      <c r="G104" s="3"/>
      <c r="H104" s="4" t="str">
        <f t="shared" si="7"/>
        <v/>
      </c>
      <c r="I104" t="str">
        <f t="shared" si="8"/>
        <v/>
      </c>
      <c r="J104" s="2"/>
      <c r="K104" t="str">
        <f t="shared" si="9"/>
        <v/>
      </c>
    </row>
    <row r="105" spans="1:11">
      <c r="A105" t="str">
        <f t="shared" si="5"/>
        <v/>
      </c>
      <c r="C105" t="str">
        <f>IF(B105&lt;&gt;"",_xlfn.XLOOKUP(B105,'Client list'!B:B,'Client list'!A:A),"")</f>
        <v/>
      </c>
      <c r="F105" t="str">
        <f t="shared" si="6"/>
        <v/>
      </c>
      <c r="G105" s="3"/>
      <c r="H105" s="4" t="str">
        <f t="shared" si="7"/>
        <v/>
      </c>
      <c r="I105" t="str">
        <f t="shared" si="8"/>
        <v/>
      </c>
      <c r="J105" s="2"/>
      <c r="K105" t="str">
        <f t="shared" si="9"/>
        <v/>
      </c>
    </row>
    <row r="106" spans="1:11">
      <c r="A106" t="str">
        <f t="shared" si="5"/>
        <v/>
      </c>
      <c r="C106" t="str">
        <f>IF(B106&lt;&gt;"",_xlfn.XLOOKUP(B106,'Client list'!B:B,'Client list'!A:A),"")</f>
        <v/>
      </c>
      <c r="F106" t="str">
        <f t="shared" si="6"/>
        <v/>
      </c>
      <c r="G106" s="3"/>
      <c r="H106" s="4" t="str">
        <f t="shared" si="7"/>
        <v/>
      </c>
      <c r="I106" t="str">
        <f t="shared" si="8"/>
        <v/>
      </c>
      <c r="J106" s="2"/>
      <c r="K106" t="str">
        <f t="shared" si="9"/>
        <v/>
      </c>
    </row>
    <row r="107" spans="1:11">
      <c r="A107" t="str">
        <f t="shared" si="5"/>
        <v/>
      </c>
      <c r="C107" t="str">
        <f>IF(B107&lt;&gt;"",_xlfn.XLOOKUP(B107,'Client list'!B:B,'Client list'!A:A),"")</f>
        <v/>
      </c>
      <c r="F107" t="str">
        <f t="shared" si="6"/>
        <v/>
      </c>
      <c r="G107" s="3"/>
      <c r="H107" s="4" t="str">
        <f t="shared" si="7"/>
        <v/>
      </c>
      <c r="I107" t="str">
        <f t="shared" si="8"/>
        <v/>
      </c>
      <c r="J107" s="2"/>
      <c r="K107" t="str">
        <f t="shared" si="9"/>
        <v/>
      </c>
    </row>
    <row r="108" spans="1:11">
      <c r="A108" t="str">
        <f t="shared" si="5"/>
        <v/>
      </c>
      <c r="C108" t="str">
        <f>IF(B108&lt;&gt;"",_xlfn.XLOOKUP(B108,'Client list'!B:B,'Client list'!A:A),"")</f>
        <v/>
      </c>
      <c r="F108" t="str">
        <f t="shared" si="6"/>
        <v/>
      </c>
      <c r="G108" s="3"/>
      <c r="H108" s="4" t="str">
        <f t="shared" si="7"/>
        <v/>
      </c>
      <c r="I108" t="str">
        <f t="shared" si="8"/>
        <v/>
      </c>
      <c r="J108" s="2"/>
      <c r="K108" t="str">
        <f t="shared" si="9"/>
        <v/>
      </c>
    </row>
    <row r="109" spans="1:11">
      <c r="A109" t="str">
        <f t="shared" si="5"/>
        <v/>
      </c>
      <c r="C109" t="str">
        <f>IF(B109&lt;&gt;"",_xlfn.XLOOKUP(B109,'Client list'!B:B,'Client list'!A:A),"")</f>
        <v/>
      </c>
      <c r="F109" t="str">
        <f t="shared" si="6"/>
        <v/>
      </c>
      <c r="G109" s="3"/>
      <c r="H109" s="4" t="str">
        <f t="shared" si="7"/>
        <v/>
      </c>
      <c r="I109" t="str">
        <f t="shared" si="8"/>
        <v/>
      </c>
      <c r="J109" s="2"/>
      <c r="K109" t="str">
        <f t="shared" si="9"/>
        <v/>
      </c>
    </row>
    <row r="110" spans="1:11">
      <c r="A110" t="str">
        <f t="shared" si="5"/>
        <v/>
      </c>
      <c r="C110" t="str">
        <f>IF(B110&lt;&gt;"",_xlfn.XLOOKUP(B110,'Client list'!B:B,'Client list'!A:A),"")</f>
        <v/>
      </c>
      <c r="F110" t="str">
        <f t="shared" si="6"/>
        <v/>
      </c>
      <c r="G110" s="3"/>
      <c r="H110" s="4" t="str">
        <f t="shared" si="7"/>
        <v/>
      </c>
      <c r="I110" t="str">
        <f t="shared" si="8"/>
        <v/>
      </c>
      <c r="J110" s="2"/>
      <c r="K110" t="str">
        <f t="shared" si="9"/>
        <v/>
      </c>
    </row>
    <row r="111" spans="1:11">
      <c r="A111" t="str">
        <f t="shared" si="5"/>
        <v/>
      </c>
      <c r="C111" t="str">
        <f>IF(B111&lt;&gt;"",_xlfn.XLOOKUP(B111,'Client list'!B:B,'Client list'!A:A),"")</f>
        <v/>
      </c>
      <c r="F111" t="str">
        <f t="shared" si="6"/>
        <v/>
      </c>
      <c r="G111" s="3"/>
      <c r="H111" s="4" t="str">
        <f t="shared" si="7"/>
        <v/>
      </c>
      <c r="I111" t="str">
        <f t="shared" si="8"/>
        <v/>
      </c>
      <c r="J111" s="2"/>
      <c r="K111" t="str">
        <f t="shared" si="9"/>
        <v/>
      </c>
    </row>
    <row r="112" spans="1:11">
      <c r="A112" t="str">
        <f t="shared" si="5"/>
        <v/>
      </c>
      <c r="C112" t="str">
        <f>IF(B112&lt;&gt;"",_xlfn.XLOOKUP(B112,'Client list'!B:B,'Client list'!A:A),"")</f>
        <v/>
      </c>
      <c r="F112" t="str">
        <f t="shared" si="6"/>
        <v/>
      </c>
      <c r="G112" s="3"/>
      <c r="H112" s="4" t="str">
        <f t="shared" si="7"/>
        <v/>
      </c>
      <c r="I112" t="str">
        <f t="shared" si="8"/>
        <v/>
      </c>
      <c r="J112" s="2"/>
      <c r="K112" t="str">
        <f t="shared" si="9"/>
        <v/>
      </c>
    </row>
    <row r="113" spans="1:11">
      <c r="A113" t="str">
        <f t="shared" si="5"/>
        <v/>
      </c>
      <c r="C113" t="str">
        <f>IF(B113&lt;&gt;"",_xlfn.XLOOKUP(B113,'Client list'!B:B,'Client list'!A:A),"")</f>
        <v/>
      </c>
      <c r="F113" t="str">
        <f t="shared" si="6"/>
        <v/>
      </c>
      <c r="G113" s="3"/>
      <c r="H113" s="4" t="str">
        <f t="shared" si="7"/>
        <v/>
      </c>
      <c r="I113" t="str">
        <f t="shared" si="8"/>
        <v/>
      </c>
      <c r="J113" s="2"/>
      <c r="K113" t="str">
        <f t="shared" si="9"/>
        <v/>
      </c>
    </row>
    <row r="114" spans="1:11">
      <c r="A114" t="str">
        <f t="shared" si="5"/>
        <v/>
      </c>
      <c r="C114" t="str">
        <f>IF(B114&lt;&gt;"",_xlfn.XLOOKUP(B114,'Client list'!B:B,'Client list'!A:A),"")</f>
        <v/>
      </c>
      <c r="F114" t="str">
        <f t="shared" si="6"/>
        <v/>
      </c>
      <c r="G114" s="3"/>
      <c r="H114" s="4" t="str">
        <f t="shared" si="7"/>
        <v/>
      </c>
      <c r="I114" t="str">
        <f t="shared" si="8"/>
        <v/>
      </c>
      <c r="J114" s="2"/>
      <c r="K114" t="str">
        <f t="shared" si="9"/>
        <v/>
      </c>
    </row>
    <row r="115" spans="1:11">
      <c r="A115" t="str">
        <f t="shared" si="5"/>
        <v/>
      </c>
      <c r="C115" t="str">
        <f>IF(B115&lt;&gt;"",_xlfn.XLOOKUP(B115,'Client list'!B:B,'Client list'!A:A),"")</f>
        <v/>
      </c>
      <c r="F115" t="str">
        <f t="shared" si="6"/>
        <v/>
      </c>
      <c r="G115" s="3"/>
      <c r="H115" s="4" t="str">
        <f t="shared" si="7"/>
        <v/>
      </c>
      <c r="I115" t="str">
        <f t="shared" si="8"/>
        <v/>
      </c>
      <c r="J115" s="2"/>
      <c r="K115" t="str">
        <f t="shared" si="9"/>
        <v/>
      </c>
    </row>
    <row r="116" spans="1:11">
      <c r="A116" t="str">
        <f t="shared" si="5"/>
        <v/>
      </c>
      <c r="C116" t="str">
        <f>IF(B116&lt;&gt;"",_xlfn.XLOOKUP(B116,'Client list'!B:B,'Client list'!A:A),"")</f>
        <v/>
      </c>
      <c r="F116" t="str">
        <f t="shared" si="6"/>
        <v/>
      </c>
      <c r="G116" s="3"/>
      <c r="H116" s="4" t="str">
        <f t="shared" si="7"/>
        <v/>
      </c>
      <c r="I116" t="str">
        <f t="shared" si="8"/>
        <v/>
      </c>
      <c r="J116" s="2"/>
      <c r="K116" t="str">
        <f t="shared" si="9"/>
        <v/>
      </c>
    </row>
    <row r="117" spans="1:11">
      <c r="A117" t="str">
        <f t="shared" si="5"/>
        <v/>
      </c>
      <c r="C117" t="str">
        <f>IF(B117&lt;&gt;"",_xlfn.XLOOKUP(B117,'Client list'!B:B,'Client list'!A:A),"")</f>
        <v/>
      </c>
      <c r="F117" t="str">
        <f t="shared" si="6"/>
        <v/>
      </c>
      <c r="G117" s="3"/>
      <c r="H117" s="4" t="str">
        <f t="shared" si="7"/>
        <v/>
      </c>
      <c r="I117" t="str">
        <f t="shared" si="8"/>
        <v/>
      </c>
      <c r="J117" s="2"/>
      <c r="K117" t="str">
        <f t="shared" si="9"/>
        <v/>
      </c>
    </row>
    <row r="118" spans="1:11">
      <c r="A118" t="str">
        <f t="shared" si="5"/>
        <v/>
      </c>
      <c r="C118" t="str">
        <f>IF(B118&lt;&gt;"",_xlfn.XLOOKUP(B118,'Client list'!B:B,'Client list'!A:A),"")</f>
        <v/>
      </c>
      <c r="F118" t="str">
        <f t="shared" si="6"/>
        <v/>
      </c>
      <c r="G118" s="3"/>
      <c r="H118" s="4" t="str">
        <f t="shared" si="7"/>
        <v/>
      </c>
      <c r="I118" t="str">
        <f t="shared" si="8"/>
        <v/>
      </c>
      <c r="J118" s="2"/>
      <c r="K118" t="str">
        <f t="shared" si="9"/>
        <v/>
      </c>
    </row>
    <row r="119" spans="1:11">
      <c r="A119" t="str">
        <f t="shared" si="5"/>
        <v/>
      </c>
      <c r="C119" t="str">
        <f>IF(B119&lt;&gt;"",_xlfn.XLOOKUP(B119,'Client list'!B:B,'Client list'!A:A),"")</f>
        <v/>
      </c>
      <c r="F119" t="str">
        <f t="shared" si="6"/>
        <v/>
      </c>
      <c r="G119" s="3"/>
      <c r="H119" s="4" t="str">
        <f t="shared" si="7"/>
        <v/>
      </c>
      <c r="I119" t="str">
        <f t="shared" si="8"/>
        <v/>
      </c>
      <c r="J119" s="2"/>
      <c r="K119" t="str">
        <f t="shared" si="9"/>
        <v/>
      </c>
    </row>
    <row r="120" spans="1:11">
      <c r="A120" t="str">
        <f t="shared" si="5"/>
        <v/>
      </c>
      <c r="C120" t="str">
        <f>IF(B120&lt;&gt;"",_xlfn.XLOOKUP(B120,'Client list'!B:B,'Client list'!A:A),"")</f>
        <v/>
      </c>
      <c r="F120" t="str">
        <f t="shared" si="6"/>
        <v/>
      </c>
      <c r="G120" s="3"/>
      <c r="H120" s="4" t="str">
        <f t="shared" si="7"/>
        <v/>
      </c>
      <c r="I120" t="str">
        <f t="shared" si="8"/>
        <v/>
      </c>
      <c r="J120" s="2"/>
      <c r="K120" t="str">
        <f t="shared" si="9"/>
        <v/>
      </c>
    </row>
    <row r="121" spans="1:11">
      <c r="A121" t="str">
        <f t="shared" si="5"/>
        <v/>
      </c>
      <c r="C121" t="str">
        <f>IF(B121&lt;&gt;"",_xlfn.XLOOKUP(B121,'Client list'!B:B,'Client list'!A:A),"")</f>
        <v/>
      </c>
      <c r="F121" t="str">
        <f t="shared" si="6"/>
        <v/>
      </c>
      <c r="G121" s="3"/>
      <c r="H121" s="4" t="str">
        <f t="shared" si="7"/>
        <v/>
      </c>
      <c r="I121" t="str">
        <f t="shared" si="8"/>
        <v/>
      </c>
      <c r="J121" s="2"/>
      <c r="K121" t="str">
        <f t="shared" si="9"/>
        <v/>
      </c>
    </row>
    <row r="122" spans="1:11">
      <c r="A122" t="str">
        <f t="shared" si="5"/>
        <v/>
      </c>
      <c r="C122" t="str">
        <f>IF(B122&lt;&gt;"",_xlfn.XLOOKUP(B122,'Client list'!B:B,'Client list'!A:A),"")</f>
        <v/>
      </c>
      <c r="F122" t="str">
        <f t="shared" si="6"/>
        <v/>
      </c>
      <c r="G122" s="3"/>
      <c r="H122" s="4" t="str">
        <f t="shared" si="7"/>
        <v/>
      </c>
      <c r="I122" t="str">
        <f t="shared" si="8"/>
        <v/>
      </c>
      <c r="J122" s="2"/>
      <c r="K122" t="str">
        <f t="shared" si="9"/>
        <v/>
      </c>
    </row>
    <row r="123" spans="1:11">
      <c r="A123" t="str">
        <f t="shared" si="5"/>
        <v/>
      </c>
      <c r="C123" t="str">
        <f>IF(B123&lt;&gt;"",_xlfn.XLOOKUP(B123,'Client list'!B:B,'Client list'!A:A),"")</f>
        <v/>
      </c>
      <c r="F123" t="str">
        <f t="shared" si="6"/>
        <v/>
      </c>
      <c r="G123" s="3"/>
      <c r="H123" s="4" t="str">
        <f t="shared" si="7"/>
        <v/>
      </c>
      <c r="I123" t="str">
        <f t="shared" si="8"/>
        <v/>
      </c>
      <c r="J123" s="2"/>
      <c r="K123" t="str">
        <f t="shared" si="9"/>
        <v/>
      </c>
    </row>
    <row r="124" spans="1:11">
      <c r="A124" t="str">
        <f t="shared" si="5"/>
        <v/>
      </c>
      <c r="C124" t="str">
        <f>IF(B124&lt;&gt;"",_xlfn.XLOOKUP(B124,'Client list'!B:B,'Client list'!A:A),"")</f>
        <v/>
      </c>
      <c r="F124" t="str">
        <f t="shared" si="6"/>
        <v/>
      </c>
      <c r="G124" s="3"/>
      <c r="H124" s="4" t="str">
        <f t="shared" si="7"/>
        <v/>
      </c>
      <c r="I124" t="str">
        <f t="shared" si="8"/>
        <v/>
      </c>
      <c r="J124" s="2"/>
      <c r="K124" t="str">
        <f t="shared" si="9"/>
        <v/>
      </c>
    </row>
    <row r="125" spans="1:11">
      <c r="A125" t="str">
        <f t="shared" si="5"/>
        <v/>
      </c>
      <c r="C125" t="str">
        <f>IF(B125&lt;&gt;"",_xlfn.XLOOKUP(B125,'Client list'!B:B,'Client list'!A:A),"")</f>
        <v/>
      </c>
      <c r="F125" t="str">
        <f t="shared" si="6"/>
        <v/>
      </c>
      <c r="G125" s="3"/>
      <c r="H125" s="4" t="str">
        <f t="shared" si="7"/>
        <v/>
      </c>
      <c r="I125" t="str">
        <f t="shared" si="8"/>
        <v/>
      </c>
      <c r="J125" s="2"/>
      <c r="K125" t="str">
        <f t="shared" si="9"/>
        <v/>
      </c>
    </row>
    <row r="126" spans="1:11">
      <c r="A126" t="str">
        <f t="shared" si="5"/>
        <v/>
      </c>
      <c r="C126" t="str">
        <f>IF(B126&lt;&gt;"",_xlfn.XLOOKUP(B126,'Client list'!B:B,'Client list'!A:A),"")</f>
        <v/>
      </c>
      <c r="F126" t="str">
        <f t="shared" si="6"/>
        <v/>
      </c>
      <c r="G126" s="3"/>
      <c r="H126" s="4" t="str">
        <f t="shared" si="7"/>
        <v/>
      </c>
      <c r="I126" t="str">
        <f t="shared" si="8"/>
        <v/>
      </c>
      <c r="J126" s="2"/>
      <c r="K126" t="str">
        <f t="shared" si="9"/>
        <v/>
      </c>
    </row>
    <row r="127" spans="1:11">
      <c r="A127" t="str">
        <f t="shared" si="5"/>
        <v/>
      </c>
      <c r="C127" t="str">
        <f>IF(B127&lt;&gt;"",_xlfn.XLOOKUP(B127,'Client list'!B:B,'Client list'!A:A),"")</f>
        <v/>
      </c>
      <c r="F127" t="str">
        <f t="shared" si="6"/>
        <v/>
      </c>
      <c r="G127" s="3"/>
      <c r="H127" s="4" t="str">
        <f t="shared" si="7"/>
        <v/>
      </c>
      <c r="I127" t="str">
        <f t="shared" si="8"/>
        <v/>
      </c>
      <c r="J127" s="2"/>
      <c r="K127" t="str">
        <f t="shared" si="9"/>
        <v/>
      </c>
    </row>
    <row r="128" spans="1:11">
      <c r="A128" t="str">
        <f t="shared" si="5"/>
        <v/>
      </c>
      <c r="C128" t="str">
        <f>IF(B128&lt;&gt;"",_xlfn.XLOOKUP(B128,'Client list'!B:B,'Client list'!A:A),"")</f>
        <v/>
      </c>
      <c r="F128" t="str">
        <f t="shared" si="6"/>
        <v/>
      </c>
      <c r="G128" s="3"/>
      <c r="H128" s="4" t="str">
        <f t="shared" si="7"/>
        <v/>
      </c>
      <c r="I128" t="str">
        <f t="shared" si="8"/>
        <v/>
      </c>
      <c r="J128" s="2"/>
      <c r="K128" t="str">
        <f t="shared" si="9"/>
        <v/>
      </c>
    </row>
    <row r="129" spans="1:11">
      <c r="A129" t="str">
        <f t="shared" si="5"/>
        <v/>
      </c>
      <c r="C129" t="str">
        <f>IF(B129&lt;&gt;"",_xlfn.XLOOKUP(B129,'Client list'!B:B,'Client list'!A:A),"")</f>
        <v/>
      </c>
      <c r="F129" t="str">
        <f t="shared" si="6"/>
        <v/>
      </c>
      <c r="G129" s="3"/>
      <c r="H129" s="4" t="str">
        <f t="shared" si="7"/>
        <v/>
      </c>
      <c r="I129" t="str">
        <f t="shared" si="8"/>
        <v/>
      </c>
      <c r="J129" s="2"/>
      <c r="K129" t="str">
        <f t="shared" si="9"/>
        <v/>
      </c>
    </row>
    <row r="130" spans="1:11">
      <c r="A130" t="str">
        <f t="shared" si="5"/>
        <v/>
      </c>
      <c r="C130" t="str">
        <f>IF(B130&lt;&gt;"",_xlfn.XLOOKUP(B130,'Client list'!B:B,'Client list'!A:A),"")</f>
        <v/>
      </c>
      <c r="F130" t="str">
        <f t="shared" si="6"/>
        <v/>
      </c>
      <c r="G130" s="3"/>
      <c r="H130" s="4" t="str">
        <f t="shared" si="7"/>
        <v/>
      </c>
      <c r="I130" t="str">
        <f t="shared" si="8"/>
        <v/>
      </c>
      <c r="J130" s="2"/>
      <c r="K130" t="str">
        <f t="shared" si="9"/>
        <v/>
      </c>
    </row>
    <row r="131" spans="1:11">
      <c r="A131" t="str">
        <f t="shared" ref="A131:A194" si="10">IF(B131&lt;&gt;"","LN"&amp;ROW()-1,"")</f>
        <v/>
      </c>
      <c r="C131" t="str">
        <f>IF(B131&lt;&gt;"",_xlfn.XLOOKUP(B131,'Client list'!B:B,'Client list'!A:A),"")</f>
        <v/>
      </c>
      <c r="F131" t="str">
        <f t="shared" ref="F131:F194" si="11">IF(D131&lt;&gt;"",(D131+E131),"")</f>
        <v/>
      </c>
      <c r="G131" s="3"/>
      <c r="H131" s="4" t="str">
        <f t="shared" ref="H131:H194" si="12">IF(D131&lt;&gt;"",(D131*G131),"")</f>
        <v/>
      </c>
      <c r="I131" t="str">
        <f t="shared" ref="I131:I194" si="13">IF(D131&lt;&gt;"",(D131+H131),"")</f>
        <v/>
      </c>
      <c r="J131" s="2"/>
      <c r="K131" t="str">
        <f t="shared" ref="K131:K194" si="14">IF(D131&lt;&gt;"",(A131&amp;" | "&amp;B131&amp;" | "&amp;D131&amp;" | "&amp;H131&amp;" | "&amp;I131&amp;" | "&amp;J131),"")</f>
        <v/>
      </c>
    </row>
    <row r="132" spans="1:11">
      <c r="A132" t="str">
        <f t="shared" si="10"/>
        <v/>
      </c>
      <c r="C132" t="str">
        <f>IF(B132&lt;&gt;"",_xlfn.XLOOKUP(B132,'Client list'!B:B,'Client list'!A:A),"")</f>
        <v/>
      </c>
      <c r="F132" t="str">
        <f t="shared" si="11"/>
        <v/>
      </c>
      <c r="G132" s="3"/>
      <c r="H132" s="4" t="str">
        <f t="shared" si="12"/>
        <v/>
      </c>
      <c r="I132" t="str">
        <f t="shared" si="13"/>
        <v/>
      </c>
      <c r="J132" s="2"/>
      <c r="K132" t="str">
        <f t="shared" si="14"/>
        <v/>
      </c>
    </row>
    <row r="133" spans="1:11">
      <c r="A133" t="str">
        <f t="shared" si="10"/>
        <v/>
      </c>
      <c r="C133" t="str">
        <f>IF(B133&lt;&gt;"",_xlfn.XLOOKUP(B133,'Client list'!B:B,'Client list'!A:A),"")</f>
        <v/>
      </c>
      <c r="F133" t="str">
        <f t="shared" si="11"/>
        <v/>
      </c>
      <c r="G133" s="3"/>
      <c r="H133" s="4" t="str">
        <f t="shared" si="12"/>
        <v/>
      </c>
      <c r="I133" t="str">
        <f t="shared" si="13"/>
        <v/>
      </c>
      <c r="J133" s="2"/>
      <c r="K133" t="str">
        <f t="shared" si="14"/>
        <v/>
      </c>
    </row>
    <row r="134" spans="1:11">
      <c r="A134" t="str">
        <f t="shared" si="10"/>
        <v/>
      </c>
      <c r="C134" t="str">
        <f>IF(B134&lt;&gt;"",_xlfn.XLOOKUP(B134,'Client list'!B:B,'Client list'!A:A),"")</f>
        <v/>
      </c>
      <c r="F134" t="str">
        <f t="shared" si="11"/>
        <v/>
      </c>
      <c r="G134" s="3"/>
      <c r="H134" s="4" t="str">
        <f t="shared" si="12"/>
        <v/>
      </c>
      <c r="I134" t="str">
        <f t="shared" si="13"/>
        <v/>
      </c>
      <c r="J134" s="2"/>
      <c r="K134" t="str">
        <f t="shared" si="14"/>
        <v/>
      </c>
    </row>
    <row r="135" spans="1:11">
      <c r="A135" t="str">
        <f t="shared" si="10"/>
        <v/>
      </c>
      <c r="C135" t="str">
        <f>IF(B135&lt;&gt;"",_xlfn.XLOOKUP(B135,'Client list'!B:B,'Client list'!A:A),"")</f>
        <v/>
      </c>
      <c r="F135" t="str">
        <f t="shared" si="11"/>
        <v/>
      </c>
      <c r="G135" s="3"/>
      <c r="H135" s="4" t="str">
        <f t="shared" si="12"/>
        <v/>
      </c>
      <c r="I135" t="str">
        <f t="shared" si="13"/>
        <v/>
      </c>
      <c r="J135" s="2"/>
      <c r="K135" t="str">
        <f t="shared" si="14"/>
        <v/>
      </c>
    </row>
    <row r="136" spans="1:11">
      <c r="A136" t="str">
        <f t="shared" si="10"/>
        <v/>
      </c>
      <c r="C136" t="str">
        <f>IF(B136&lt;&gt;"",_xlfn.XLOOKUP(B136,'Client list'!B:B,'Client list'!A:A),"")</f>
        <v/>
      </c>
      <c r="F136" t="str">
        <f t="shared" si="11"/>
        <v/>
      </c>
      <c r="G136" s="3"/>
      <c r="H136" s="4" t="str">
        <f t="shared" si="12"/>
        <v/>
      </c>
      <c r="I136" t="str">
        <f t="shared" si="13"/>
        <v/>
      </c>
      <c r="J136" s="2"/>
      <c r="K136" t="str">
        <f t="shared" si="14"/>
        <v/>
      </c>
    </row>
    <row r="137" spans="1:11">
      <c r="A137" t="str">
        <f t="shared" si="10"/>
        <v/>
      </c>
      <c r="C137" t="str">
        <f>IF(B137&lt;&gt;"",_xlfn.XLOOKUP(B137,'Client list'!B:B,'Client list'!A:A),"")</f>
        <v/>
      </c>
      <c r="F137" t="str">
        <f t="shared" si="11"/>
        <v/>
      </c>
      <c r="G137" s="3"/>
      <c r="H137" s="4" t="str">
        <f t="shared" si="12"/>
        <v/>
      </c>
      <c r="I137" t="str">
        <f t="shared" si="13"/>
        <v/>
      </c>
      <c r="J137" s="2"/>
      <c r="K137" t="str">
        <f t="shared" si="14"/>
        <v/>
      </c>
    </row>
    <row r="138" spans="1:11">
      <c r="A138" t="str">
        <f t="shared" si="10"/>
        <v/>
      </c>
      <c r="C138" t="str">
        <f>IF(B138&lt;&gt;"",_xlfn.XLOOKUP(B138,'Client list'!B:B,'Client list'!A:A),"")</f>
        <v/>
      </c>
      <c r="F138" t="str">
        <f t="shared" si="11"/>
        <v/>
      </c>
      <c r="G138" s="3"/>
      <c r="H138" s="4" t="str">
        <f t="shared" si="12"/>
        <v/>
      </c>
      <c r="I138" t="str">
        <f t="shared" si="13"/>
        <v/>
      </c>
      <c r="J138" s="2"/>
      <c r="K138" t="str">
        <f t="shared" si="14"/>
        <v/>
      </c>
    </row>
    <row r="139" spans="1:11">
      <c r="A139" t="str">
        <f t="shared" si="10"/>
        <v/>
      </c>
      <c r="C139" t="str">
        <f>IF(B139&lt;&gt;"",_xlfn.XLOOKUP(B139,'Client list'!B:B,'Client list'!A:A),"")</f>
        <v/>
      </c>
      <c r="F139" t="str">
        <f t="shared" si="11"/>
        <v/>
      </c>
      <c r="G139" s="3"/>
      <c r="H139" s="4" t="str">
        <f t="shared" si="12"/>
        <v/>
      </c>
      <c r="I139" t="str">
        <f t="shared" si="13"/>
        <v/>
      </c>
      <c r="J139" s="2"/>
      <c r="K139" t="str">
        <f t="shared" si="14"/>
        <v/>
      </c>
    </row>
    <row r="140" spans="1:11">
      <c r="A140" t="str">
        <f t="shared" si="10"/>
        <v/>
      </c>
      <c r="C140" t="str">
        <f>IF(B140&lt;&gt;"",_xlfn.XLOOKUP(B140,'Client list'!B:B,'Client list'!A:A),"")</f>
        <v/>
      </c>
      <c r="F140" t="str">
        <f t="shared" si="11"/>
        <v/>
      </c>
      <c r="G140" s="3"/>
      <c r="H140" s="4" t="str">
        <f t="shared" si="12"/>
        <v/>
      </c>
      <c r="I140" t="str">
        <f t="shared" si="13"/>
        <v/>
      </c>
      <c r="J140" s="2"/>
      <c r="K140" t="str">
        <f t="shared" si="14"/>
        <v/>
      </c>
    </row>
    <row r="141" spans="1:11">
      <c r="A141" t="str">
        <f t="shared" si="10"/>
        <v/>
      </c>
      <c r="C141" t="str">
        <f>IF(B141&lt;&gt;"",_xlfn.XLOOKUP(B141,'Client list'!B:B,'Client list'!A:A),"")</f>
        <v/>
      </c>
      <c r="F141" t="str">
        <f t="shared" si="11"/>
        <v/>
      </c>
      <c r="G141" s="3"/>
      <c r="H141" s="4" t="str">
        <f t="shared" si="12"/>
        <v/>
      </c>
      <c r="I141" t="str">
        <f t="shared" si="13"/>
        <v/>
      </c>
      <c r="J141" s="2"/>
      <c r="K141" t="str">
        <f t="shared" si="14"/>
        <v/>
      </c>
    </row>
    <row r="142" spans="1:11">
      <c r="A142" t="str">
        <f t="shared" si="10"/>
        <v/>
      </c>
      <c r="C142" t="str">
        <f>IF(B142&lt;&gt;"",_xlfn.XLOOKUP(B142,'Client list'!B:B,'Client list'!A:A),"")</f>
        <v/>
      </c>
      <c r="F142" t="str">
        <f t="shared" si="11"/>
        <v/>
      </c>
      <c r="G142" s="3"/>
      <c r="H142" s="4" t="str">
        <f t="shared" si="12"/>
        <v/>
      </c>
      <c r="I142" t="str">
        <f t="shared" si="13"/>
        <v/>
      </c>
      <c r="J142" s="2"/>
      <c r="K142" t="str">
        <f t="shared" si="14"/>
        <v/>
      </c>
    </row>
    <row r="143" spans="1:11">
      <c r="A143" t="str">
        <f t="shared" si="10"/>
        <v/>
      </c>
      <c r="C143" t="str">
        <f>IF(B143&lt;&gt;"",_xlfn.XLOOKUP(B143,'Client list'!B:B,'Client list'!A:A),"")</f>
        <v/>
      </c>
      <c r="F143" t="str">
        <f t="shared" si="11"/>
        <v/>
      </c>
      <c r="G143" s="3"/>
      <c r="H143" s="4" t="str">
        <f t="shared" si="12"/>
        <v/>
      </c>
      <c r="I143" t="str">
        <f t="shared" si="13"/>
        <v/>
      </c>
      <c r="J143" s="2"/>
      <c r="K143" t="str">
        <f t="shared" si="14"/>
        <v/>
      </c>
    </row>
    <row r="144" spans="1:11">
      <c r="A144" t="str">
        <f t="shared" si="10"/>
        <v/>
      </c>
      <c r="C144" t="str">
        <f>IF(B144&lt;&gt;"",_xlfn.XLOOKUP(B144,'Client list'!B:B,'Client list'!A:A),"")</f>
        <v/>
      </c>
      <c r="F144" t="str">
        <f t="shared" si="11"/>
        <v/>
      </c>
      <c r="G144" s="3"/>
      <c r="H144" s="4" t="str">
        <f t="shared" si="12"/>
        <v/>
      </c>
      <c r="I144" t="str">
        <f t="shared" si="13"/>
        <v/>
      </c>
      <c r="J144" s="2"/>
      <c r="K144" t="str">
        <f t="shared" si="14"/>
        <v/>
      </c>
    </row>
    <row r="145" spans="1:11">
      <c r="A145" t="str">
        <f t="shared" si="10"/>
        <v/>
      </c>
      <c r="C145" t="str">
        <f>IF(B145&lt;&gt;"",_xlfn.XLOOKUP(B145,'Client list'!B:B,'Client list'!A:A),"")</f>
        <v/>
      </c>
      <c r="F145" t="str">
        <f t="shared" si="11"/>
        <v/>
      </c>
      <c r="G145" s="3"/>
      <c r="H145" s="4" t="str">
        <f t="shared" si="12"/>
        <v/>
      </c>
      <c r="I145" t="str">
        <f t="shared" si="13"/>
        <v/>
      </c>
      <c r="J145" s="2"/>
      <c r="K145" t="str">
        <f t="shared" si="14"/>
        <v/>
      </c>
    </row>
    <row r="146" spans="1:11">
      <c r="A146" t="str">
        <f t="shared" si="10"/>
        <v/>
      </c>
      <c r="C146" t="str">
        <f>IF(B146&lt;&gt;"",_xlfn.XLOOKUP(B146,'Client list'!B:B,'Client list'!A:A),"")</f>
        <v/>
      </c>
      <c r="F146" t="str">
        <f t="shared" si="11"/>
        <v/>
      </c>
      <c r="G146" s="3"/>
      <c r="H146" s="4" t="str">
        <f t="shared" si="12"/>
        <v/>
      </c>
      <c r="I146" t="str">
        <f t="shared" si="13"/>
        <v/>
      </c>
      <c r="J146" s="2"/>
      <c r="K146" t="str">
        <f t="shared" si="14"/>
        <v/>
      </c>
    </row>
    <row r="147" spans="1:11">
      <c r="A147" t="str">
        <f t="shared" si="10"/>
        <v/>
      </c>
      <c r="C147" t="str">
        <f>IF(B147&lt;&gt;"",_xlfn.XLOOKUP(B147,'Client list'!B:B,'Client list'!A:A),"")</f>
        <v/>
      </c>
      <c r="F147" t="str">
        <f t="shared" si="11"/>
        <v/>
      </c>
      <c r="G147" s="3"/>
      <c r="H147" s="4" t="str">
        <f t="shared" si="12"/>
        <v/>
      </c>
      <c r="I147" t="str">
        <f t="shared" si="13"/>
        <v/>
      </c>
      <c r="J147" s="2"/>
      <c r="K147" t="str">
        <f t="shared" si="14"/>
        <v/>
      </c>
    </row>
    <row r="148" spans="1:11">
      <c r="A148" t="str">
        <f t="shared" si="10"/>
        <v/>
      </c>
      <c r="C148" t="str">
        <f>IF(B148&lt;&gt;"",_xlfn.XLOOKUP(B148,'Client list'!B:B,'Client list'!A:A),"")</f>
        <v/>
      </c>
      <c r="F148" t="str">
        <f t="shared" si="11"/>
        <v/>
      </c>
      <c r="G148" s="3"/>
      <c r="H148" s="4" t="str">
        <f t="shared" si="12"/>
        <v/>
      </c>
      <c r="I148" t="str">
        <f t="shared" si="13"/>
        <v/>
      </c>
      <c r="J148" s="2"/>
      <c r="K148" t="str">
        <f t="shared" si="14"/>
        <v/>
      </c>
    </row>
    <row r="149" spans="1:11">
      <c r="A149" t="str">
        <f t="shared" si="10"/>
        <v/>
      </c>
      <c r="C149" t="str">
        <f>IF(B149&lt;&gt;"",_xlfn.XLOOKUP(B149,'Client list'!B:B,'Client list'!A:A),"")</f>
        <v/>
      </c>
      <c r="F149" t="str">
        <f t="shared" si="11"/>
        <v/>
      </c>
      <c r="G149" s="3"/>
      <c r="H149" s="4" t="str">
        <f t="shared" si="12"/>
        <v/>
      </c>
      <c r="I149" t="str">
        <f t="shared" si="13"/>
        <v/>
      </c>
      <c r="J149" s="2"/>
      <c r="K149" t="str">
        <f t="shared" si="14"/>
        <v/>
      </c>
    </row>
    <row r="150" spans="1:11">
      <c r="A150" t="str">
        <f t="shared" si="10"/>
        <v/>
      </c>
      <c r="C150" t="str">
        <f>IF(B150&lt;&gt;"",_xlfn.XLOOKUP(B150,'Client list'!B:B,'Client list'!A:A),"")</f>
        <v/>
      </c>
      <c r="F150" t="str">
        <f t="shared" si="11"/>
        <v/>
      </c>
      <c r="G150" s="3"/>
      <c r="H150" s="4" t="str">
        <f t="shared" si="12"/>
        <v/>
      </c>
      <c r="I150" t="str">
        <f t="shared" si="13"/>
        <v/>
      </c>
      <c r="J150" s="2"/>
      <c r="K150" t="str">
        <f t="shared" si="14"/>
        <v/>
      </c>
    </row>
    <row r="151" spans="1:11">
      <c r="A151" t="str">
        <f t="shared" si="10"/>
        <v/>
      </c>
      <c r="C151" t="str">
        <f>IF(B151&lt;&gt;"",_xlfn.XLOOKUP(B151,'Client list'!B:B,'Client list'!A:A),"")</f>
        <v/>
      </c>
      <c r="F151" t="str">
        <f t="shared" si="11"/>
        <v/>
      </c>
      <c r="G151" s="3"/>
      <c r="H151" s="4" t="str">
        <f t="shared" si="12"/>
        <v/>
      </c>
      <c r="I151" t="str">
        <f t="shared" si="13"/>
        <v/>
      </c>
      <c r="J151" s="2"/>
      <c r="K151" t="str">
        <f t="shared" si="14"/>
        <v/>
      </c>
    </row>
    <row r="152" spans="1:11">
      <c r="A152" t="str">
        <f t="shared" si="10"/>
        <v/>
      </c>
      <c r="C152" t="str">
        <f>IF(B152&lt;&gt;"",_xlfn.XLOOKUP(B152,'Client list'!B:B,'Client list'!A:A),"")</f>
        <v/>
      </c>
      <c r="F152" t="str">
        <f t="shared" si="11"/>
        <v/>
      </c>
      <c r="G152" s="3"/>
      <c r="H152" s="4" t="str">
        <f t="shared" si="12"/>
        <v/>
      </c>
      <c r="I152" t="str">
        <f t="shared" si="13"/>
        <v/>
      </c>
      <c r="J152" s="2"/>
      <c r="K152" t="str">
        <f t="shared" si="14"/>
        <v/>
      </c>
    </row>
    <row r="153" spans="1:11">
      <c r="A153" t="str">
        <f t="shared" si="10"/>
        <v/>
      </c>
      <c r="C153" t="str">
        <f>IF(B153&lt;&gt;"",_xlfn.XLOOKUP(B153,'Client list'!B:B,'Client list'!A:A),"")</f>
        <v/>
      </c>
      <c r="F153" t="str">
        <f t="shared" si="11"/>
        <v/>
      </c>
      <c r="G153" s="3"/>
      <c r="H153" s="4" t="str">
        <f t="shared" si="12"/>
        <v/>
      </c>
      <c r="I153" t="str">
        <f t="shared" si="13"/>
        <v/>
      </c>
      <c r="J153" s="2"/>
      <c r="K153" t="str">
        <f t="shared" si="14"/>
        <v/>
      </c>
    </row>
    <row r="154" spans="1:11">
      <c r="A154" t="str">
        <f t="shared" si="10"/>
        <v/>
      </c>
      <c r="C154" t="str">
        <f>IF(B154&lt;&gt;"",_xlfn.XLOOKUP(B154,'Client list'!B:B,'Client list'!A:A),"")</f>
        <v/>
      </c>
      <c r="F154" t="str">
        <f t="shared" si="11"/>
        <v/>
      </c>
      <c r="G154" s="3"/>
      <c r="H154" s="4" t="str">
        <f t="shared" si="12"/>
        <v/>
      </c>
      <c r="I154" t="str">
        <f t="shared" si="13"/>
        <v/>
      </c>
      <c r="J154" s="2"/>
      <c r="K154" t="str">
        <f t="shared" si="14"/>
        <v/>
      </c>
    </row>
    <row r="155" spans="1:11">
      <c r="A155" t="str">
        <f t="shared" si="10"/>
        <v/>
      </c>
      <c r="C155" t="str">
        <f>IF(B155&lt;&gt;"",_xlfn.XLOOKUP(B155,'Client list'!B:B,'Client list'!A:A),"")</f>
        <v/>
      </c>
      <c r="F155" t="str">
        <f t="shared" si="11"/>
        <v/>
      </c>
      <c r="G155" s="3"/>
      <c r="H155" s="4" t="str">
        <f t="shared" si="12"/>
        <v/>
      </c>
      <c r="I155" t="str">
        <f t="shared" si="13"/>
        <v/>
      </c>
      <c r="J155" s="2"/>
      <c r="K155" t="str">
        <f t="shared" si="14"/>
        <v/>
      </c>
    </row>
    <row r="156" spans="1:11">
      <c r="A156" t="str">
        <f t="shared" si="10"/>
        <v/>
      </c>
      <c r="C156" t="str">
        <f>IF(B156&lt;&gt;"",_xlfn.XLOOKUP(B156,'Client list'!B:B,'Client list'!A:A),"")</f>
        <v/>
      </c>
      <c r="F156" t="str">
        <f t="shared" si="11"/>
        <v/>
      </c>
      <c r="G156" s="3"/>
      <c r="H156" s="4" t="str">
        <f t="shared" si="12"/>
        <v/>
      </c>
      <c r="I156" t="str">
        <f t="shared" si="13"/>
        <v/>
      </c>
      <c r="J156" s="2"/>
      <c r="K156" t="str">
        <f t="shared" si="14"/>
        <v/>
      </c>
    </row>
    <row r="157" spans="1:11">
      <c r="A157" t="str">
        <f t="shared" si="10"/>
        <v/>
      </c>
      <c r="C157" t="str">
        <f>IF(B157&lt;&gt;"",_xlfn.XLOOKUP(B157,'Client list'!B:B,'Client list'!A:A),"")</f>
        <v/>
      </c>
      <c r="F157" t="str">
        <f t="shared" si="11"/>
        <v/>
      </c>
      <c r="G157" s="3"/>
      <c r="H157" s="4" t="str">
        <f t="shared" si="12"/>
        <v/>
      </c>
      <c r="I157" t="str">
        <f t="shared" si="13"/>
        <v/>
      </c>
      <c r="J157" s="2"/>
      <c r="K157" t="str">
        <f t="shared" si="14"/>
        <v/>
      </c>
    </row>
    <row r="158" spans="1:11">
      <c r="A158" t="str">
        <f t="shared" si="10"/>
        <v/>
      </c>
      <c r="C158" t="str">
        <f>IF(B158&lt;&gt;"",_xlfn.XLOOKUP(B158,'Client list'!B:B,'Client list'!A:A),"")</f>
        <v/>
      </c>
      <c r="F158" t="str">
        <f t="shared" si="11"/>
        <v/>
      </c>
      <c r="G158" s="3"/>
      <c r="H158" s="4" t="str">
        <f t="shared" si="12"/>
        <v/>
      </c>
      <c r="I158" t="str">
        <f t="shared" si="13"/>
        <v/>
      </c>
      <c r="J158" s="2"/>
      <c r="K158" t="str">
        <f t="shared" si="14"/>
        <v/>
      </c>
    </row>
    <row r="159" spans="1:11">
      <c r="A159" t="str">
        <f t="shared" si="10"/>
        <v/>
      </c>
      <c r="C159" t="str">
        <f>IF(B159&lt;&gt;"",_xlfn.XLOOKUP(B159,'Client list'!B:B,'Client list'!A:A),"")</f>
        <v/>
      </c>
      <c r="F159" t="str">
        <f t="shared" si="11"/>
        <v/>
      </c>
      <c r="G159" s="3"/>
      <c r="H159" s="4" t="str">
        <f t="shared" si="12"/>
        <v/>
      </c>
      <c r="I159" t="str">
        <f t="shared" si="13"/>
        <v/>
      </c>
      <c r="J159" s="2"/>
      <c r="K159" t="str">
        <f t="shared" si="14"/>
        <v/>
      </c>
    </row>
    <row r="160" spans="1:11">
      <c r="A160" t="str">
        <f t="shared" si="10"/>
        <v/>
      </c>
      <c r="C160" t="str">
        <f>IF(B160&lt;&gt;"",_xlfn.XLOOKUP(B160,'Client list'!B:B,'Client list'!A:A),"")</f>
        <v/>
      </c>
      <c r="F160" t="str">
        <f t="shared" si="11"/>
        <v/>
      </c>
      <c r="G160" s="3"/>
      <c r="H160" s="4" t="str">
        <f t="shared" si="12"/>
        <v/>
      </c>
      <c r="I160" t="str">
        <f t="shared" si="13"/>
        <v/>
      </c>
      <c r="J160" s="2"/>
      <c r="K160" t="str">
        <f t="shared" si="14"/>
        <v/>
      </c>
    </row>
    <row r="161" spans="1:11">
      <c r="A161" t="str">
        <f t="shared" si="10"/>
        <v/>
      </c>
      <c r="C161" t="str">
        <f>IF(B161&lt;&gt;"",_xlfn.XLOOKUP(B161,'Client list'!B:B,'Client list'!A:A),"")</f>
        <v/>
      </c>
      <c r="F161" t="str">
        <f t="shared" si="11"/>
        <v/>
      </c>
      <c r="G161" s="3"/>
      <c r="H161" s="4" t="str">
        <f t="shared" si="12"/>
        <v/>
      </c>
      <c r="I161" t="str">
        <f t="shared" si="13"/>
        <v/>
      </c>
      <c r="J161" s="2"/>
      <c r="K161" t="str">
        <f t="shared" si="14"/>
        <v/>
      </c>
    </row>
    <row r="162" spans="1:11">
      <c r="A162" t="str">
        <f t="shared" si="10"/>
        <v/>
      </c>
      <c r="C162" t="str">
        <f>IF(B162&lt;&gt;"",_xlfn.XLOOKUP(B162,'Client list'!B:B,'Client list'!A:A),"")</f>
        <v/>
      </c>
      <c r="F162" t="str">
        <f t="shared" si="11"/>
        <v/>
      </c>
      <c r="G162" s="3"/>
      <c r="H162" s="4" t="str">
        <f t="shared" si="12"/>
        <v/>
      </c>
      <c r="I162" t="str">
        <f t="shared" si="13"/>
        <v/>
      </c>
      <c r="J162" s="2"/>
      <c r="K162" t="str">
        <f t="shared" si="14"/>
        <v/>
      </c>
    </row>
    <row r="163" spans="1:11">
      <c r="A163" t="str">
        <f t="shared" si="10"/>
        <v/>
      </c>
      <c r="C163" t="str">
        <f>IF(B163&lt;&gt;"",_xlfn.XLOOKUP(B163,'Client list'!B:B,'Client list'!A:A),"")</f>
        <v/>
      </c>
      <c r="F163" t="str">
        <f t="shared" si="11"/>
        <v/>
      </c>
      <c r="G163" s="3"/>
      <c r="H163" s="4" t="str">
        <f t="shared" si="12"/>
        <v/>
      </c>
      <c r="I163" t="str">
        <f t="shared" si="13"/>
        <v/>
      </c>
      <c r="J163" s="2"/>
      <c r="K163" t="str">
        <f t="shared" si="14"/>
        <v/>
      </c>
    </row>
    <row r="164" spans="1:11">
      <c r="A164" t="str">
        <f t="shared" si="10"/>
        <v/>
      </c>
      <c r="C164" t="str">
        <f>IF(B164&lt;&gt;"",_xlfn.XLOOKUP(B164,'Client list'!B:B,'Client list'!A:A),"")</f>
        <v/>
      </c>
      <c r="F164" t="str">
        <f t="shared" si="11"/>
        <v/>
      </c>
      <c r="G164" s="3"/>
      <c r="H164" s="4" t="str">
        <f t="shared" si="12"/>
        <v/>
      </c>
      <c r="I164" t="str">
        <f t="shared" si="13"/>
        <v/>
      </c>
      <c r="J164" s="2"/>
      <c r="K164" t="str">
        <f t="shared" si="14"/>
        <v/>
      </c>
    </row>
    <row r="165" spans="1:11">
      <c r="A165" t="str">
        <f t="shared" si="10"/>
        <v/>
      </c>
      <c r="C165" t="str">
        <f>IF(B165&lt;&gt;"",_xlfn.XLOOKUP(B165,'Client list'!B:B,'Client list'!A:A),"")</f>
        <v/>
      </c>
      <c r="F165" t="str">
        <f t="shared" si="11"/>
        <v/>
      </c>
      <c r="G165" s="3"/>
      <c r="H165" s="4" t="str">
        <f t="shared" si="12"/>
        <v/>
      </c>
      <c r="I165" t="str">
        <f t="shared" si="13"/>
        <v/>
      </c>
      <c r="J165" s="2"/>
      <c r="K165" t="str">
        <f t="shared" si="14"/>
        <v/>
      </c>
    </row>
    <row r="166" spans="1:11">
      <c r="A166" t="str">
        <f t="shared" si="10"/>
        <v/>
      </c>
      <c r="C166" t="str">
        <f>IF(B166&lt;&gt;"",_xlfn.XLOOKUP(B166,'Client list'!B:B,'Client list'!A:A),"")</f>
        <v/>
      </c>
      <c r="F166" t="str">
        <f t="shared" si="11"/>
        <v/>
      </c>
      <c r="G166" s="3"/>
      <c r="H166" s="4" t="str">
        <f t="shared" si="12"/>
        <v/>
      </c>
      <c r="I166" t="str">
        <f t="shared" si="13"/>
        <v/>
      </c>
      <c r="J166" s="2"/>
      <c r="K166" t="str">
        <f t="shared" si="14"/>
        <v/>
      </c>
    </row>
    <row r="167" spans="1:11">
      <c r="A167" t="str">
        <f t="shared" si="10"/>
        <v/>
      </c>
      <c r="C167" t="str">
        <f>IF(B167&lt;&gt;"",_xlfn.XLOOKUP(B167,'Client list'!B:B,'Client list'!A:A),"")</f>
        <v/>
      </c>
      <c r="F167" t="str">
        <f t="shared" si="11"/>
        <v/>
      </c>
      <c r="G167" s="3"/>
      <c r="H167" s="4" t="str">
        <f t="shared" si="12"/>
        <v/>
      </c>
      <c r="I167" t="str">
        <f t="shared" si="13"/>
        <v/>
      </c>
      <c r="J167" s="2"/>
      <c r="K167" t="str">
        <f t="shared" si="14"/>
        <v/>
      </c>
    </row>
    <row r="168" spans="1:11">
      <c r="A168" t="str">
        <f t="shared" si="10"/>
        <v/>
      </c>
      <c r="C168" t="str">
        <f>IF(B168&lt;&gt;"",_xlfn.XLOOKUP(B168,'Client list'!B:B,'Client list'!A:A),"")</f>
        <v/>
      </c>
      <c r="F168" t="str">
        <f t="shared" si="11"/>
        <v/>
      </c>
      <c r="G168" s="3"/>
      <c r="H168" s="4" t="str">
        <f t="shared" si="12"/>
        <v/>
      </c>
      <c r="I168" t="str">
        <f t="shared" si="13"/>
        <v/>
      </c>
      <c r="J168" s="2"/>
      <c r="K168" t="str">
        <f t="shared" si="14"/>
        <v/>
      </c>
    </row>
    <row r="169" spans="1:11">
      <c r="A169" t="str">
        <f t="shared" si="10"/>
        <v/>
      </c>
      <c r="C169" t="str">
        <f>IF(B169&lt;&gt;"",_xlfn.XLOOKUP(B169,'Client list'!B:B,'Client list'!A:A),"")</f>
        <v/>
      </c>
      <c r="F169" t="str">
        <f t="shared" si="11"/>
        <v/>
      </c>
      <c r="G169" s="3"/>
      <c r="H169" s="4" t="str">
        <f t="shared" si="12"/>
        <v/>
      </c>
      <c r="I169" t="str">
        <f t="shared" si="13"/>
        <v/>
      </c>
      <c r="J169" s="2"/>
      <c r="K169" t="str">
        <f t="shared" si="14"/>
        <v/>
      </c>
    </row>
    <row r="170" spans="1:11">
      <c r="A170" t="str">
        <f t="shared" si="10"/>
        <v/>
      </c>
      <c r="C170" t="str">
        <f>IF(B170&lt;&gt;"",_xlfn.XLOOKUP(B170,'Client list'!B:B,'Client list'!A:A),"")</f>
        <v/>
      </c>
      <c r="F170" t="str">
        <f t="shared" si="11"/>
        <v/>
      </c>
      <c r="G170" s="3"/>
      <c r="H170" s="4" t="str">
        <f t="shared" si="12"/>
        <v/>
      </c>
      <c r="I170" t="str">
        <f t="shared" si="13"/>
        <v/>
      </c>
      <c r="J170" s="2"/>
      <c r="K170" t="str">
        <f t="shared" si="14"/>
        <v/>
      </c>
    </row>
    <row r="171" spans="1:11">
      <c r="A171" t="str">
        <f t="shared" si="10"/>
        <v/>
      </c>
      <c r="C171" t="str">
        <f>IF(B171&lt;&gt;"",_xlfn.XLOOKUP(B171,'Client list'!B:B,'Client list'!A:A),"")</f>
        <v/>
      </c>
      <c r="F171" t="str">
        <f t="shared" si="11"/>
        <v/>
      </c>
      <c r="G171" s="3"/>
      <c r="H171" s="4" t="str">
        <f t="shared" si="12"/>
        <v/>
      </c>
      <c r="I171" t="str">
        <f t="shared" si="13"/>
        <v/>
      </c>
      <c r="J171" s="2"/>
      <c r="K171" t="str">
        <f t="shared" si="14"/>
        <v/>
      </c>
    </row>
    <row r="172" spans="1:11">
      <c r="A172" t="str">
        <f t="shared" si="10"/>
        <v/>
      </c>
      <c r="C172" t="str">
        <f>IF(B172&lt;&gt;"",_xlfn.XLOOKUP(B172,'Client list'!B:B,'Client list'!A:A),"")</f>
        <v/>
      </c>
      <c r="F172" t="str">
        <f t="shared" si="11"/>
        <v/>
      </c>
      <c r="G172" s="3"/>
      <c r="H172" s="4" t="str">
        <f t="shared" si="12"/>
        <v/>
      </c>
      <c r="I172" t="str">
        <f t="shared" si="13"/>
        <v/>
      </c>
      <c r="J172" s="2"/>
      <c r="K172" t="str">
        <f t="shared" si="14"/>
        <v/>
      </c>
    </row>
    <row r="173" spans="1:11">
      <c r="A173" t="str">
        <f t="shared" si="10"/>
        <v/>
      </c>
      <c r="C173" t="str">
        <f>IF(B173&lt;&gt;"",_xlfn.XLOOKUP(B173,'Client list'!B:B,'Client list'!A:A),"")</f>
        <v/>
      </c>
      <c r="F173" t="str">
        <f t="shared" si="11"/>
        <v/>
      </c>
      <c r="G173" s="3"/>
      <c r="H173" s="4" t="str">
        <f t="shared" si="12"/>
        <v/>
      </c>
      <c r="I173" t="str">
        <f t="shared" si="13"/>
        <v/>
      </c>
      <c r="J173" s="2"/>
      <c r="K173" t="str">
        <f t="shared" si="14"/>
        <v/>
      </c>
    </row>
    <row r="174" spans="1:11">
      <c r="A174" t="str">
        <f t="shared" si="10"/>
        <v/>
      </c>
      <c r="C174" t="str">
        <f>IF(B174&lt;&gt;"",_xlfn.XLOOKUP(B174,'Client list'!B:B,'Client list'!A:A),"")</f>
        <v/>
      </c>
      <c r="F174" t="str">
        <f t="shared" si="11"/>
        <v/>
      </c>
      <c r="G174" s="3"/>
      <c r="H174" s="4" t="str">
        <f t="shared" si="12"/>
        <v/>
      </c>
      <c r="I174" t="str">
        <f t="shared" si="13"/>
        <v/>
      </c>
      <c r="J174" s="2"/>
      <c r="K174" t="str">
        <f t="shared" si="14"/>
        <v/>
      </c>
    </row>
    <row r="175" spans="1:11">
      <c r="A175" t="str">
        <f t="shared" si="10"/>
        <v/>
      </c>
      <c r="C175" t="str">
        <f>IF(B175&lt;&gt;"",_xlfn.XLOOKUP(B175,'Client list'!B:B,'Client list'!A:A),"")</f>
        <v/>
      </c>
      <c r="F175" t="str">
        <f t="shared" si="11"/>
        <v/>
      </c>
      <c r="G175" s="3"/>
      <c r="H175" s="4" t="str">
        <f t="shared" si="12"/>
        <v/>
      </c>
      <c r="I175" t="str">
        <f t="shared" si="13"/>
        <v/>
      </c>
      <c r="J175" s="2"/>
      <c r="K175" t="str">
        <f t="shared" si="14"/>
        <v/>
      </c>
    </row>
    <row r="176" spans="1:11">
      <c r="A176" t="str">
        <f t="shared" si="10"/>
        <v/>
      </c>
      <c r="C176" t="str">
        <f>IF(B176&lt;&gt;"",_xlfn.XLOOKUP(B176,'Client list'!B:B,'Client list'!A:A),"")</f>
        <v/>
      </c>
      <c r="F176" t="str">
        <f t="shared" si="11"/>
        <v/>
      </c>
      <c r="G176" s="3"/>
      <c r="H176" s="4" t="str">
        <f t="shared" si="12"/>
        <v/>
      </c>
      <c r="I176" t="str">
        <f t="shared" si="13"/>
        <v/>
      </c>
      <c r="J176" s="2"/>
      <c r="K176" t="str">
        <f t="shared" si="14"/>
        <v/>
      </c>
    </row>
    <row r="177" spans="1:11">
      <c r="A177" t="str">
        <f t="shared" si="10"/>
        <v/>
      </c>
      <c r="C177" t="str">
        <f>IF(B177&lt;&gt;"",_xlfn.XLOOKUP(B177,'Client list'!B:B,'Client list'!A:A),"")</f>
        <v/>
      </c>
      <c r="F177" t="str">
        <f t="shared" si="11"/>
        <v/>
      </c>
      <c r="G177" s="3"/>
      <c r="H177" s="4" t="str">
        <f t="shared" si="12"/>
        <v/>
      </c>
      <c r="I177" t="str">
        <f t="shared" si="13"/>
        <v/>
      </c>
      <c r="J177" s="2"/>
      <c r="K177" t="str">
        <f t="shared" si="14"/>
        <v/>
      </c>
    </row>
    <row r="178" spans="1:11">
      <c r="A178" t="str">
        <f t="shared" si="10"/>
        <v/>
      </c>
      <c r="C178" t="str">
        <f>IF(B178&lt;&gt;"",_xlfn.XLOOKUP(B178,'Client list'!B:B,'Client list'!A:A),"")</f>
        <v/>
      </c>
      <c r="F178" t="str">
        <f t="shared" si="11"/>
        <v/>
      </c>
      <c r="G178" s="3"/>
      <c r="H178" s="4" t="str">
        <f t="shared" si="12"/>
        <v/>
      </c>
      <c r="I178" t="str">
        <f t="shared" si="13"/>
        <v/>
      </c>
      <c r="J178" s="2"/>
      <c r="K178" t="str">
        <f t="shared" si="14"/>
        <v/>
      </c>
    </row>
    <row r="179" spans="1:11">
      <c r="A179" t="str">
        <f t="shared" si="10"/>
        <v/>
      </c>
      <c r="C179" t="str">
        <f>IF(B179&lt;&gt;"",_xlfn.XLOOKUP(B179,'Client list'!B:B,'Client list'!A:A),"")</f>
        <v/>
      </c>
      <c r="F179" t="str">
        <f t="shared" si="11"/>
        <v/>
      </c>
      <c r="G179" s="3"/>
      <c r="H179" s="4" t="str">
        <f t="shared" si="12"/>
        <v/>
      </c>
      <c r="I179" t="str">
        <f t="shared" si="13"/>
        <v/>
      </c>
      <c r="J179" s="2"/>
      <c r="K179" t="str">
        <f t="shared" si="14"/>
        <v/>
      </c>
    </row>
    <row r="180" spans="1:11">
      <c r="A180" t="str">
        <f t="shared" si="10"/>
        <v/>
      </c>
      <c r="C180" t="str">
        <f>IF(B180&lt;&gt;"",_xlfn.XLOOKUP(B180,'Client list'!B:B,'Client list'!A:A),"")</f>
        <v/>
      </c>
      <c r="F180" t="str">
        <f t="shared" si="11"/>
        <v/>
      </c>
      <c r="G180" s="3"/>
      <c r="H180" s="4" t="str">
        <f t="shared" si="12"/>
        <v/>
      </c>
      <c r="I180" t="str">
        <f t="shared" si="13"/>
        <v/>
      </c>
      <c r="J180" s="2"/>
      <c r="K180" t="str">
        <f t="shared" si="14"/>
        <v/>
      </c>
    </row>
    <row r="181" spans="1:11">
      <c r="A181" t="str">
        <f t="shared" si="10"/>
        <v/>
      </c>
      <c r="C181" t="str">
        <f>IF(B181&lt;&gt;"",_xlfn.XLOOKUP(B181,'Client list'!B:B,'Client list'!A:A),"")</f>
        <v/>
      </c>
      <c r="F181" t="str">
        <f t="shared" si="11"/>
        <v/>
      </c>
      <c r="G181" s="3"/>
      <c r="H181" s="4" t="str">
        <f t="shared" si="12"/>
        <v/>
      </c>
      <c r="I181" t="str">
        <f t="shared" si="13"/>
        <v/>
      </c>
      <c r="J181" s="2"/>
      <c r="K181" t="str">
        <f t="shared" si="14"/>
        <v/>
      </c>
    </row>
    <row r="182" spans="1:11">
      <c r="A182" t="str">
        <f t="shared" si="10"/>
        <v/>
      </c>
      <c r="C182" t="str">
        <f>IF(B182&lt;&gt;"",_xlfn.XLOOKUP(B182,'Client list'!B:B,'Client list'!A:A),"")</f>
        <v/>
      </c>
      <c r="F182" t="str">
        <f t="shared" si="11"/>
        <v/>
      </c>
      <c r="G182" s="3"/>
      <c r="H182" s="4" t="str">
        <f t="shared" si="12"/>
        <v/>
      </c>
      <c r="I182" t="str">
        <f t="shared" si="13"/>
        <v/>
      </c>
      <c r="J182" s="2"/>
      <c r="K182" t="str">
        <f t="shared" si="14"/>
        <v/>
      </c>
    </row>
    <row r="183" spans="1:11">
      <c r="A183" t="str">
        <f t="shared" si="10"/>
        <v/>
      </c>
      <c r="C183" t="str">
        <f>IF(B183&lt;&gt;"",_xlfn.XLOOKUP(B183,'Client list'!B:B,'Client list'!A:A),"")</f>
        <v/>
      </c>
      <c r="F183" t="str">
        <f t="shared" si="11"/>
        <v/>
      </c>
      <c r="G183" s="3"/>
      <c r="H183" s="4" t="str">
        <f t="shared" si="12"/>
        <v/>
      </c>
      <c r="I183" t="str">
        <f t="shared" si="13"/>
        <v/>
      </c>
      <c r="J183" s="2"/>
      <c r="K183" t="str">
        <f t="shared" si="14"/>
        <v/>
      </c>
    </row>
    <row r="184" spans="1:11">
      <c r="A184" t="str">
        <f t="shared" si="10"/>
        <v/>
      </c>
      <c r="C184" t="str">
        <f>IF(B184&lt;&gt;"",_xlfn.XLOOKUP(B184,'Client list'!B:B,'Client list'!A:A),"")</f>
        <v/>
      </c>
      <c r="F184" t="str">
        <f t="shared" si="11"/>
        <v/>
      </c>
      <c r="G184" s="3"/>
      <c r="H184" s="4" t="str">
        <f t="shared" si="12"/>
        <v/>
      </c>
      <c r="I184" t="str">
        <f t="shared" si="13"/>
        <v/>
      </c>
      <c r="J184" s="2"/>
      <c r="K184" t="str">
        <f t="shared" si="14"/>
        <v/>
      </c>
    </row>
    <row r="185" spans="1:11">
      <c r="A185" t="str">
        <f t="shared" si="10"/>
        <v/>
      </c>
      <c r="C185" t="str">
        <f>IF(B185&lt;&gt;"",_xlfn.XLOOKUP(B185,'Client list'!B:B,'Client list'!A:A),"")</f>
        <v/>
      </c>
      <c r="F185" t="str">
        <f t="shared" si="11"/>
        <v/>
      </c>
      <c r="G185" s="3"/>
      <c r="H185" s="4" t="str">
        <f t="shared" si="12"/>
        <v/>
      </c>
      <c r="I185" t="str">
        <f t="shared" si="13"/>
        <v/>
      </c>
      <c r="J185" s="2"/>
      <c r="K185" t="str">
        <f t="shared" si="14"/>
        <v/>
      </c>
    </row>
    <row r="186" spans="1:11">
      <c r="A186" t="str">
        <f t="shared" si="10"/>
        <v/>
      </c>
      <c r="C186" t="str">
        <f>IF(B186&lt;&gt;"",_xlfn.XLOOKUP(B186,'Client list'!B:B,'Client list'!A:A),"")</f>
        <v/>
      </c>
      <c r="F186" t="str">
        <f t="shared" si="11"/>
        <v/>
      </c>
      <c r="G186" s="3"/>
      <c r="H186" s="4" t="str">
        <f t="shared" si="12"/>
        <v/>
      </c>
      <c r="I186" t="str">
        <f t="shared" si="13"/>
        <v/>
      </c>
      <c r="J186" s="2"/>
      <c r="K186" t="str">
        <f t="shared" si="14"/>
        <v/>
      </c>
    </row>
    <row r="187" spans="1:11">
      <c r="A187" t="str">
        <f t="shared" si="10"/>
        <v/>
      </c>
      <c r="C187" t="str">
        <f>IF(B187&lt;&gt;"",_xlfn.XLOOKUP(B187,'Client list'!B:B,'Client list'!A:A),"")</f>
        <v/>
      </c>
      <c r="F187" t="str">
        <f t="shared" si="11"/>
        <v/>
      </c>
      <c r="G187" s="3"/>
      <c r="H187" s="4" t="str">
        <f t="shared" si="12"/>
        <v/>
      </c>
      <c r="I187" t="str">
        <f t="shared" si="13"/>
        <v/>
      </c>
      <c r="J187" s="2"/>
      <c r="K187" t="str">
        <f t="shared" si="14"/>
        <v/>
      </c>
    </row>
    <row r="188" spans="1:11">
      <c r="A188" t="str">
        <f t="shared" si="10"/>
        <v/>
      </c>
      <c r="C188" t="str">
        <f>IF(B188&lt;&gt;"",_xlfn.XLOOKUP(B188,'Client list'!B:B,'Client list'!A:A),"")</f>
        <v/>
      </c>
      <c r="F188" t="str">
        <f t="shared" si="11"/>
        <v/>
      </c>
      <c r="G188" s="3"/>
      <c r="H188" s="4" t="str">
        <f t="shared" si="12"/>
        <v/>
      </c>
      <c r="I188" t="str">
        <f t="shared" si="13"/>
        <v/>
      </c>
      <c r="J188" s="2"/>
      <c r="K188" t="str">
        <f t="shared" si="14"/>
        <v/>
      </c>
    </row>
    <row r="189" spans="1:11">
      <c r="A189" t="str">
        <f t="shared" si="10"/>
        <v/>
      </c>
      <c r="C189" t="str">
        <f>IF(B189&lt;&gt;"",_xlfn.XLOOKUP(B189,'Client list'!B:B,'Client list'!A:A),"")</f>
        <v/>
      </c>
      <c r="F189" t="str">
        <f t="shared" si="11"/>
        <v/>
      </c>
      <c r="G189" s="3"/>
      <c r="H189" s="4" t="str">
        <f t="shared" si="12"/>
        <v/>
      </c>
      <c r="I189" t="str">
        <f t="shared" si="13"/>
        <v/>
      </c>
      <c r="J189" s="2"/>
      <c r="K189" t="str">
        <f t="shared" si="14"/>
        <v/>
      </c>
    </row>
    <row r="190" spans="1:11">
      <c r="A190" t="str">
        <f t="shared" si="10"/>
        <v/>
      </c>
      <c r="C190" t="str">
        <f>IF(B190&lt;&gt;"",_xlfn.XLOOKUP(B190,'Client list'!B:B,'Client list'!A:A),"")</f>
        <v/>
      </c>
      <c r="F190" t="str">
        <f t="shared" si="11"/>
        <v/>
      </c>
      <c r="G190" s="3"/>
      <c r="H190" s="4" t="str">
        <f t="shared" si="12"/>
        <v/>
      </c>
      <c r="I190" t="str">
        <f t="shared" si="13"/>
        <v/>
      </c>
      <c r="J190" s="2"/>
      <c r="K190" t="str">
        <f t="shared" si="14"/>
        <v/>
      </c>
    </row>
    <row r="191" spans="1:11">
      <c r="A191" t="str">
        <f t="shared" si="10"/>
        <v/>
      </c>
      <c r="C191" t="str">
        <f>IF(B191&lt;&gt;"",_xlfn.XLOOKUP(B191,'Client list'!B:B,'Client list'!A:A),"")</f>
        <v/>
      </c>
      <c r="F191" t="str">
        <f t="shared" si="11"/>
        <v/>
      </c>
      <c r="G191" s="3"/>
      <c r="H191" s="4" t="str">
        <f t="shared" si="12"/>
        <v/>
      </c>
      <c r="I191" t="str">
        <f t="shared" si="13"/>
        <v/>
      </c>
      <c r="J191" s="2"/>
      <c r="K191" t="str">
        <f t="shared" si="14"/>
        <v/>
      </c>
    </row>
    <row r="192" spans="1:11">
      <c r="A192" t="str">
        <f t="shared" si="10"/>
        <v/>
      </c>
      <c r="C192" t="str">
        <f>IF(B192&lt;&gt;"",_xlfn.XLOOKUP(B192,'Client list'!B:B,'Client list'!A:A),"")</f>
        <v/>
      </c>
      <c r="F192" t="str">
        <f t="shared" si="11"/>
        <v/>
      </c>
      <c r="G192" s="3"/>
      <c r="H192" s="4" t="str">
        <f t="shared" si="12"/>
        <v/>
      </c>
      <c r="I192" t="str">
        <f t="shared" si="13"/>
        <v/>
      </c>
      <c r="J192" s="2"/>
      <c r="K192" t="str">
        <f t="shared" si="14"/>
        <v/>
      </c>
    </row>
    <row r="193" spans="1:11">
      <c r="A193" t="str">
        <f t="shared" si="10"/>
        <v/>
      </c>
      <c r="C193" t="str">
        <f>IF(B193&lt;&gt;"",_xlfn.XLOOKUP(B193,'Client list'!B:B,'Client list'!A:A),"")</f>
        <v/>
      </c>
      <c r="F193" t="str">
        <f t="shared" si="11"/>
        <v/>
      </c>
      <c r="G193" s="3"/>
      <c r="H193" s="4" t="str">
        <f t="shared" si="12"/>
        <v/>
      </c>
      <c r="I193" t="str">
        <f t="shared" si="13"/>
        <v/>
      </c>
      <c r="J193" s="2"/>
      <c r="K193" t="str">
        <f t="shared" si="14"/>
        <v/>
      </c>
    </row>
    <row r="194" spans="1:11">
      <c r="A194" t="str">
        <f t="shared" si="10"/>
        <v/>
      </c>
      <c r="C194" t="str">
        <f>IF(B194&lt;&gt;"",_xlfn.XLOOKUP(B194,'Client list'!B:B,'Client list'!A:A),"")</f>
        <v/>
      </c>
      <c r="F194" t="str">
        <f t="shared" si="11"/>
        <v/>
      </c>
      <c r="G194" s="3"/>
      <c r="H194" s="4" t="str">
        <f t="shared" si="12"/>
        <v/>
      </c>
      <c r="I194" t="str">
        <f t="shared" si="13"/>
        <v/>
      </c>
      <c r="J194" s="2"/>
      <c r="K194" t="str">
        <f t="shared" si="14"/>
        <v/>
      </c>
    </row>
    <row r="195" spans="1:11">
      <c r="A195" t="str">
        <f t="shared" ref="A195:A250" si="15">IF(B195&lt;&gt;"","LN"&amp;ROW()-1,"")</f>
        <v/>
      </c>
      <c r="C195" t="str">
        <f>IF(B195&lt;&gt;"",_xlfn.XLOOKUP(B195,'Client list'!B:B,'Client list'!A:A),"")</f>
        <v/>
      </c>
      <c r="F195" t="str">
        <f t="shared" ref="F195:F250" si="16">IF(D195&lt;&gt;"",(D195+E195),"")</f>
        <v/>
      </c>
      <c r="G195" s="3"/>
      <c r="H195" s="4" t="str">
        <f t="shared" ref="H195:H250" si="17">IF(D195&lt;&gt;"",(D195*G195),"")</f>
        <v/>
      </c>
      <c r="I195" t="str">
        <f t="shared" ref="I195:I251" si="18">IF(D195&lt;&gt;"",(D195+H195),"")</f>
        <v/>
      </c>
      <c r="J195" s="2"/>
      <c r="K195" t="str">
        <f t="shared" ref="K195:K250" si="19">IF(D195&lt;&gt;"",(A195&amp;" | "&amp;B195&amp;" | "&amp;D195&amp;" | "&amp;H195&amp;" | "&amp;I195&amp;" | "&amp;J195),"")</f>
        <v/>
      </c>
    </row>
    <row r="196" spans="1:11">
      <c r="A196" t="str">
        <f t="shared" si="15"/>
        <v/>
      </c>
      <c r="C196" t="str">
        <f>IF(B196&lt;&gt;"",_xlfn.XLOOKUP(B196,'Client list'!B:B,'Client list'!A:A),"")</f>
        <v/>
      </c>
      <c r="F196" t="str">
        <f t="shared" si="16"/>
        <v/>
      </c>
      <c r="G196" s="3"/>
      <c r="H196" s="4" t="str">
        <f t="shared" si="17"/>
        <v/>
      </c>
      <c r="I196" t="str">
        <f t="shared" si="18"/>
        <v/>
      </c>
      <c r="J196" s="2"/>
      <c r="K196" t="str">
        <f t="shared" si="19"/>
        <v/>
      </c>
    </row>
    <row r="197" spans="1:11">
      <c r="A197" t="str">
        <f t="shared" si="15"/>
        <v/>
      </c>
      <c r="C197" t="str">
        <f>IF(B197&lt;&gt;"",_xlfn.XLOOKUP(B197,'Client list'!B:B,'Client list'!A:A),"")</f>
        <v/>
      </c>
      <c r="F197" t="str">
        <f t="shared" si="16"/>
        <v/>
      </c>
      <c r="G197" s="3"/>
      <c r="H197" s="4" t="str">
        <f t="shared" si="17"/>
        <v/>
      </c>
      <c r="I197" t="str">
        <f t="shared" si="18"/>
        <v/>
      </c>
      <c r="J197" s="2"/>
      <c r="K197" t="str">
        <f t="shared" si="19"/>
        <v/>
      </c>
    </row>
    <row r="198" spans="1:11">
      <c r="A198" t="str">
        <f t="shared" si="15"/>
        <v/>
      </c>
      <c r="C198" t="str">
        <f>IF(B198&lt;&gt;"",_xlfn.XLOOKUP(B198,'Client list'!B:B,'Client list'!A:A),"")</f>
        <v/>
      </c>
      <c r="F198" t="str">
        <f t="shared" si="16"/>
        <v/>
      </c>
      <c r="G198" s="3"/>
      <c r="H198" s="4" t="str">
        <f t="shared" si="17"/>
        <v/>
      </c>
      <c r="I198" t="str">
        <f t="shared" si="18"/>
        <v/>
      </c>
      <c r="J198" s="2"/>
      <c r="K198" t="str">
        <f t="shared" si="19"/>
        <v/>
      </c>
    </row>
    <row r="199" spans="1:11">
      <c r="A199" t="str">
        <f t="shared" si="15"/>
        <v/>
      </c>
      <c r="C199" t="str">
        <f>IF(B199&lt;&gt;"",_xlfn.XLOOKUP(B199,'Client list'!B:B,'Client list'!A:A),"")</f>
        <v/>
      </c>
      <c r="F199" t="str">
        <f t="shared" si="16"/>
        <v/>
      </c>
      <c r="G199" s="3"/>
      <c r="H199" s="4" t="str">
        <f t="shared" si="17"/>
        <v/>
      </c>
      <c r="I199" t="str">
        <f t="shared" si="18"/>
        <v/>
      </c>
      <c r="J199" s="2"/>
      <c r="K199" t="str">
        <f t="shared" si="19"/>
        <v/>
      </c>
    </row>
    <row r="200" spans="1:11">
      <c r="A200" t="str">
        <f t="shared" si="15"/>
        <v/>
      </c>
      <c r="C200" t="str">
        <f>IF(B200&lt;&gt;"",_xlfn.XLOOKUP(B200,'Client list'!B:B,'Client list'!A:A),"")</f>
        <v/>
      </c>
      <c r="F200" t="str">
        <f t="shared" si="16"/>
        <v/>
      </c>
      <c r="G200" s="3"/>
      <c r="H200" s="4" t="str">
        <f t="shared" si="17"/>
        <v/>
      </c>
      <c r="I200" t="str">
        <f t="shared" si="18"/>
        <v/>
      </c>
      <c r="J200" s="2"/>
      <c r="K200" t="str">
        <f t="shared" si="19"/>
        <v/>
      </c>
    </row>
    <row r="201" spans="1:11">
      <c r="A201" t="str">
        <f t="shared" si="15"/>
        <v/>
      </c>
      <c r="C201" t="str">
        <f>IF(B201&lt;&gt;"",_xlfn.XLOOKUP(B201,'Client list'!B:B,'Client list'!A:A),"")</f>
        <v/>
      </c>
      <c r="F201" t="str">
        <f t="shared" si="16"/>
        <v/>
      </c>
      <c r="G201" s="3"/>
      <c r="H201" s="4" t="str">
        <f t="shared" si="17"/>
        <v/>
      </c>
      <c r="I201" t="str">
        <f t="shared" si="18"/>
        <v/>
      </c>
      <c r="J201" s="2"/>
      <c r="K201" t="str">
        <f t="shared" si="19"/>
        <v/>
      </c>
    </row>
    <row r="202" spans="1:11">
      <c r="A202" t="str">
        <f t="shared" si="15"/>
        <v/>
      </c>
      <c r="C202" t="str">
        <f>IF(B202&lt;&gt;"",_xlfn.XLOOKUP(B202,'Client list'!B:B,'Client list'!A:A),"")</f>
        <v/>
      </c>
      <c r="F202" t="str">
        <f t="shared" si="16"/>
        <v/>
      </c>
      <c r="G202" s="3"/>
      <c r="H202" s="4" t="str">
        <f t="shared" si="17"/>
        <v/>
      </c>
      <c r="I202" t="str">
        <f t="shared" si="18"/>
        <v/>
      </c>
      <c r="J202" s="2"/>
      <c r="K202" t="str">
        <f t="shared" si="19"/>
        <v/>
      </c>
    </row>
    <row r="203" spans="1:11">
      <c r="A203" t="str">
        <f t="shared" si="15"/>
        <v/>
      </c>
      <c r="C203" t="str">
        <f>IF(B203&lt;&gt;"",_xlfn.XLOOKUP(B203,'Client list'!B:B,'Client list'!A:A),"")</f>
        <v/>
      </c>
      <c r="F203" t="str">
        <f t="shared" si="16"/>
        <v/>
      </c>
      <c r="G203" s="3"/>
      <c r="H203" s="4" t="str">
        <f t="shared" si="17"/>
        <v/>
      </c>
      <c r="I203" t="str">
        <f t="shared" si="18"/>
        <v/>
      </c>
      <c r="J203" s="2"/>
      <c r="K203" t="str">
        <f t="shared" si="19"/>
        <v/>
      </c>
    </row>
    <row r="204" spans="1:11">
      <c r="A204" t="str">
        <f t="shared" si="15"/>
        <v/>
      </c>
      <c r="C204" t="str">
        <f>IF(B204&lt;&gt;"",_xlfn.XLOOKUP(B204,'Client list'!B:B,'Client list'!A:A),"")</f>
        <v/>
      </c>
      <c r="F204" t="str">
        <f t="shared" si="16"/>
        <v/>
      </c>
      <c r="G204" s="3"/>
      <c r="H204" s="4" t="str">
        <f t="shared" si="17"/>
        <v/>
      </c>
      <c r="I204" t="str">
        <f t="shared" si="18"/>
        <v/>
      </c>
      <c r="J204" s="2"/>
      <c r="K204" t="str">
        <f t="shared" si="19"/>
        <v/>
      </c>
    </row>
    <row r="205" spans="1:11">
      <c r="A205" t="str">
        <f t="shared" si="15"/>
        <v/>
      </c>
      <c r="C205" t="str">
        <f>IF(B205&lt;&gt;"",_xlfn.XLOOKUP(B205,'Client list'!B:B,'Client list'!A:A),"")</f>
        <v/>
      </c>
      <c r="F205" t="str">
        <f t="shared" si="16"/>
        <v/>
      </c>
      <c r="G205" s="3"/>
      <c r="H205" s="4" t="str">
        <f t="shared" si="17"/>
        <v/>
      </c>
      <c r="I205" t="str">
        <f t="shared" si="18"/>
        <v/>
      </c>
      <c r="J205" s="2"/>
      <c r="K205" t="str">
        <f t="shared" si="19"/>
        <v/>
      </c>
    </row>
    <row r="206" spans="1:11">
      <c r="A206" t="str">
        <f t="shared" si="15"/>
        <v/>
      </c>
      <c r="C206" t="str">
        <f>IF(B206&lt;&gt;"",_xlfn.XLOOKUP(B206,'Client list'!B:B,'Client list'!A:A),"")</f>
        <v/>
      </c>
      <c r="F206" t="str">
        <f t="shared" si="16"/>
        <v/>
      </c>
      <c r="G206" s="3"/>
      <c r="H206" s="4" t="str">
        <f t="shared" si="17"/>
        <v/>
      </c>
      <c r="I206" t="str">
        <f t="shared" si="18"/>
        <v/>
      </c>
      <c r="J206" s="2"/>
      <c r="K206" t="str">
        <f t="shared" si="19"/>
        <v/>
      </c>
    </row>
    <row r="207" spans="1:11">
      <c r="A207" t="str">
        <f t="shared" si="15"/>
        <v/>
      </c>
      <c r="C207" t="str">
        <f>IF(B207&lt;&gt;"",_xlfn.XLOOKUP(B207,'Client list'!B:B,'Client list'!A:A),"")</f>
        <v/>
      </c>
      <c r="F207" t="str">
        <f t="shared" si="16"/>
        <v/>
      </c>
      <c r="G207" s="3"/>
      <c r="H207" s="4" t="str">
        <f t="shared" si="17"/>
        <v/>
      </c>
      <c r="I207" t="str">
        <f t="shared" si="18"/>
        <v/>
      </c>
      <c r="J207" s="2"/>
      <c r="K207" t="str">
        <f t="shared" si="19"/>
        <v/>
      </c>
    </row>
    <row r="208" spans="1:11">
      <c r="A208" t="str">
        <f t="shared" si="15"/>
        <v/>
      </c>
      <c r="C208" t="str">
        <f>IF(B208&lt;&gt;"",_xlfn.XLOOKUP(B208,'Client list'!B:B,'Client list'!A:A),"")</f>
        <v/>
      </c>
      <c r="F208" t="str">
        <f t="shared" si="16"/>
        <v/>
      </c>
      <c r="G208" s="3"/>
      <c r="H208" s="4" t="str">
        <f t="shared" si="17"/>
        <v/>
      </c>
      <c r="I208" t="str">
        <f t="shared" si="18"/>
        <v/>
      </c>
      <c r="J208" s="2"/>
      <c r="K208" t="str">
        <f t="shared" si="19"/>
        <v/>
      </c>
    </row>
    <row r="209" spans="1:11">
      <c r="A209" t="str">
        <f t="shared" si="15"/>
        <v/>
      </c>
      <c r="C209" t="str">
        <f>IF(B209&lt;&gt;"",_xlfn.XLOOKUP(B209,'Client list'!B:B,'Client list'!A:A),"")</f>
        <v/>
      </c>
      <c r="F209" t="str">
        <f t="shared" si="16"/>
        <v/>
      </c>
      <c r="G209" s="3"/>
      <c r="H209" s="4" t="str">
        <f t="shared" si="17"/>
        <v/>
      </c>
      <c r="I209" t="str">
        <f t="shared" si="18"/>
        <v/>
      </c>
      <c r="J209" s="2"/>
      <c r="K209" t="str">
        <f t="shared" si="19"/>
        <v/>
      </c>
    </row>
    <row r="210" spans="1:11">
      <c r="A210" t="str">
        <f t="shared" si="15"/>
        <v/>
      </c>
      <c r="C210" t="str">
        <f>IF(B210&lt;&gt;"",_xlfn.XLOOKUP(B210,'Client list'!B:B,'Client list'!A:A),"")</f>
        <v/>
      </c>
      <c r="F210" t="str">
        <f t="shared" si="16"/>
        <v/>
      </c>
      <c r="G210" s="3"/>
      <c r="H210" s="4" t="str">
        <f t="shared" si="17"/>
        <v/>
      </c>
      <c r="I210" t="str">
        <f t="shared" si="18"/>
        <v/>
      </c>
      <c r="J210" s="2"/>
      <c r="K210" t="str">
        <f t="shared" si="19"/>
        <v/>
      </c>
    </row>
    <row r="211" spans="1:11">
      <c r="A211" t="str">
        <f t="shared" si="15"/>
        <v/>
      </c>
      <c r="C211" t="str">
        <f>IF(B211&lt;&gt;"",_xlfn.XLOOKUP(B211,'Client list'!B:B,'Client list'!A:A),"")</f>
        <v/>
      </c>
      <c r="F211" t="str">
        <f t="shared" si="16"/>
        <v/>
      </c>
      <c r="G211" s="3"/>
      <c r="H211" s="4" t="str">
        <f t="shared" si="17"/>
        <v/>
      </c>
      <c r="I211" t="str">
        <f t="shared" si="18"/>
        <v/>
      </c>
      <c r="J211" s="2"/>
      <c r="K211" t="str">
        <f t="shared" si="19"/>
        <v/>
      </c>
    </row>
    <row r="212" spans="1:11">
      <c r="A212" t="str">
        <f t="shared" si="15"/>
        <v/>
      </c>
      <c r="C212" t="str">
        <f>IF(B212&lt;&gt;"",_xlfn.XLOOKUP(B212,'Client list'!B:B,'Client list'!A:A),"")</f>
        <v/>
      </c>
      <c r="F212" t="str">
        <f t="shared" si="16"/>
        <v/>
      </c>
      <c r="G212" s="3"/>
      <c r="H212" s="4" t="str">
        <f t="shared" si="17"/>
        <v/>
      </c>
      <c r="I212" t="str">
        <f t="shared" si="18"/>
        <v/>
      </c>
      <c r="J212" s="2"/>
      <c r="K212" t="str">
        <f t="shared" si="19"/>
        <v/>
      </c>
    </row>
    <row r="213" spans="1:11">
      <c r="A213" t="str">
        <f t="shared" si="15"/>
        <v/>
      </c>
      <c r="C213" t="str">
        <f>IF(B213&lt;&gt;"",_xlfn.XLOOKUP(B213,'Client list'!B:B,'Client list'!A:A),"")</f>
        <v/>
      </c>
      <c r="F213" t="str">
        <f t="shared" si="16"/>
        <v/>
      </c>
      <c r="G213" s="3"/>
      <c r="H213" s="4" t="str">
        <f t="shared" si="17"/>
        <v/>
      </c>
      <c r="I213" t="str">
        <f t="shared" si="18"/>
        <v/>
      </c>
      <c r="J213" s="2"/>
      <c r="K213" t="str">
        <f t="shared" si="19"/>
        <v/>
      </c>
    </row>
    <row r="214" spans="1:11">
      <c r="A214" t="str">
        <f t="shared" si="15"/>
        <v/>
      </c>
      <c r="C214" t="str">
        <f>IF(B214&lt;&gt;"",_xlfn.XLOOKUP(B214,'Client list'!B:B,'Client list'!A:A),"")</f>
        <v/>
      </c>
      <c r="F214" t="str">
        <f t="shared" si="16"/>
        <v/>
      </c>
      <c r="G214" s="3"/>
      <c r="H214" s="4" t="str">
        <f t="shared" si="17"/>
        <v/>
      </c>
      <c r="I214" t="str">
        <f t="shared" si="18"/>
        <v/>
      </c>
      <c r="J214" s="2"/>
      <c r="K214" t="str">
        <f t="shared" si="19"/>
        <v/>
      </c>
    </row>
    <row r="215" spans="1:11">
      <c r="A215" t="str">
        <f t="shared" si="15"/>
        <v/>
      </c>
      <c r="C215" t="str">
        <f>IF(B215&lt;&gt;"",_xlfn.XLOOKUP(B215,'Client list'!B:B,'Client list'!A:A),"")</f>
        <v/>
      </c>
      <c r="F215" t="str">
        <f t="shared" si="16"/>
        <v/>
      </c>
      <c r="G215" s="3"/>
      <c r="H215" s="4" t="str">
        <f t="shared" si="17"/>
        <v/>
      </c>
      <c r="I215" t="str">
        <f t="shared" si="18"/>
        <v/>
      </c>
      <c r="J215" s="2"/>
      <c r="K215" t="str">
        <f t="shared" si="19"/>
        <v/>
      </c>
    </row>
    <row r="216" spans="1:11">
      <c r="A216" t="str">
        <f t="shared" si="15"/>
        <v/>
      </c>
      <c r="C216" t="str">
        <f>IF(B216&lt;&gt;"",_xlfn.XLOOKUP(B216,'Client list'!B:B,'Client list'!A:A),"")</f>
        <v/>
      </c>
      <c r="F216" t="str">
        <f t="shared" si="16"/>
        <v/>
      </c>
      <c r="G216" s="3"/>
      <c r="H216" s="4" t="str">
        <f t="shared" si="17"/>
        <v/>
      </c>
      <c r="I216" t="str">
        <f t="shared" si="18"/>
        <v/>
      </c>
      <c r="J216" s="2"/>
      <c r="K216" t="str">
        <f t="shared" si="19"/>
        <v/>
      </c>
    </row>
    <row r="217" spans="1:11">
      <c r="A217" t="str">
        <f t="shared" si="15"/>
        <v/>
      </c>
      <c r="C217" t="str">
        <f>IF(B217&lt;&gt;"",_xlfn.XLOOKUP(B217,'Client list'!B:B,'Client list'!A:A),"")</f>
        <v/>
      </c>
      <c r="F217" t="str">
        <f t="shared" si="16"/>
        <v/>
      </c>
      <c r="G217" s="3"/>
      <c r="H217" s="4" t="str">
        <f t="shared" si="17"/>
        <v/>
      </c>
      <c r="I217" t="str">
        <f t="shared" si="18"/>
        <v/>
      </c>
      <c r="J217" s="2"/>
      <c r="K217" t="str">
        <f t="shared" si="19"/>
        <v/>
      </c>
    </row>
    <row r="218" spans="1:11">
      <c r="A218" t="str">
        <f t="shared" si="15"/>
        <v/>
      </c>
      <c r="C218" t="str">
        <f>IF(B218&lt;&gt;"",_xlfn.XLOOKUP(B218,'Client list'!B:B,'Client list'!A:A),"")</f>
        <v/>
      </c>
      <c r="F218" t="str">
        <f t="shared" si="16"/>
        <v/>
      </c>
      <c r="G218" s="3"/>
      <c r="H218" s="4" t="str">
        <f t="shared" si="17"/>
        <v/>
      </c>
      <c r="I218" t="str">
        <f t="shared" si="18"/>
        <v/>
      </c>
      <c r="J218" s="2"/>
      <c r="K218" t="str">
        <f t="shared" si="19"/>
        <v/>
      </c>
    </row>
    <row r="219" spans="1:11">
      <c r="A219" t="str">
        <f t="shared" si="15"/>
        <v/>
      </c>
      <c r="C219" t="str">
        <f>IF(B219&lt;&gt;"",_xlfn.XLOOKUP(B219,'Client list'!B:B,'Client list'!A:A),"")</f>
        <v/>
      </c>
      <c r="F219" t="str">
        <f t="shared" si="16"/>
        <v/>
      </c>
      <c r="G219" s="3"/>
      <c r="H219" s="4" t="str">
        <f t="shared" si="17"/>
        <v/>
      </c>
      <c r="I219" t="str">
        <f t="shared" si="18"/>
        <v/>
      </c>
      <c r="J219" s="2"/>
      <c r="K219" t="str">
        <f t="shared" si="19"/>
        <v/>
      </c>
    </row>
    <row r="220" spans="1:11">
      <c r="A220" t="str">
        <f t="shared" si="15"/>
        <v/>
      </c>
      <c r="C220" t="str">
        <f>IF(B220&lt;&gt;"",_xlfn.XLOOKUP(B220,'Client list'!B:B,'Client list'!A:A),"")</f>
        <v/>
      </c>
      <c r="F220" t="str">
        <f t="shared" si="16"/>
        <v/>
      </c>
      <c r="G220" s="3"/>
      <c r="H220" s="4" t="str">
        <f t="shared" si="17"/>
        <v/>
      </c>
      <c r="I220" t="str">
        <f t="shared" si="18"/>
        <v/>
      </c>
      <c r="J220" s="2"/>
      <c r="K220" t="str">
        <f t="shared" si="19"/>
        <v/>
      </c>
    </row>
    <row r="221" spans="1:11">
      <c r="A221" t="str">
        <f t="shared" si="15"/>
        <v/>
      </c>
      <c r="C221" t="str">
        <f>IF(B221&lt;&gt;"",_xlfn.XLOOKUP(B221,'Client list'!B:B,'Client list'!A:A),"")</f>
        <v/>
      </c>
      <c r="F221" t="str">
        <f t="shared" si="16"/>
        <v/>
      </c>
      <c r="G221" s="3"/>
      <c r="H221" s="4" t="str">
        <f t="shared" si="17"/>
        <v/>
      </c>
      <c r="I221" t="str">
        <f t="shared" si="18"/>
        <v/>
      </c>
      <c r="J221" s="2"/>
      <c r="K221" t="str">
        <f t="shared" si="19"/>
        <v/>
      </c>
    </row>
    <row r="222" spans="1:11">
      <c r="A222" t="str">
        <f t="shared" si="15"/>
        <v/>
      </c>
      <c r="C222" t="str">
        <f>IF(B222&lt;&gt;"",_xlfn.XLOOKUP(B222,'Client list'!B:B,'Client list'!A:A),"")</f>
        <v/>
      </c>
      <c r="F222" t="str">
        <f t="shared" si="16"/>
        <v/>
      </c>
      <c r="G222" s="3"/>
      <c r="H222" s="4" t="str">
        <f t="shared" si="17"/>
        <v/>
      </c>
      <c r="I222" t="str">
        <f t="shared" si="18"/>
        <v/>
      </c>
      <c r="J222" s="2"/>
      <c r="K222" t="str">
        <f t="shared" si="19"/>
        <v/>
      </c>
    </row>
    <row r="223" spans="1:11">
      <c r="A223" t="str">
        <f t="shared" si="15"/>
        <v/>
      </c>
      <c r="C223" t="str">
        <f>IF(B223&lt;&gt;"",_xlfn.XLOOKUP(B223,'Client list'!B:B,'Client list'!A:A),"")</f>
        <v/>
      </c>
      <c r="F223" t="str">
        <f t="shared" si="16"/>
        <v/>
      </c>
      <c r="G223" s="3"/>
      <c r="H223" s="4" t="str">
        <f t="shared" si="17"/>
        <v/>
      </c>
      <c r="I223" t="str">
        <f t="shared" si="18"/>
        <v/>
      </c>
      <c r="J223" s="2"/>
      <c r="K223" t="str">
        <f t="shared" si="19"/>
        <v/>
      </c>
    </row>
    <row r="224" spans="1:11">
      <c r="A224" t="str">
        <f t="shared" si="15"/>
        <v/>
      </c>
      <c r="C224" t="str">
        <f>IF(B224&lt;&gt;"",_xlfn.XLOOKUP(B224,'Client list'!B:B,'Client list'!A:A),"")</f>
        <v/>
      </c>
      <c r="F224" t="str">
        <f t="shared" si="16"/>
        <v/>
      </c>
      <c r="G224" s="3"/>
      <c r="H224" s="4" t="str">
        <f t="shared" si="17"/>
        <v/>
      </c>
      <c r="I224" t="str">
        <f t="shared" si="18"/>
        <v/>
      </c>
      <c r="J224" s="2"/>
      <c r="K224" t="str">
        <f t="shared" si="19"/>
        <v/>
      </c>
    </row>
    <row r="225" spans="1:11">
      <c r="A225" t="str">
        <f t="shared" si="15"/>
        <v/>
      </c>
      <c r="C225" t="str">
        <f>IF(B225&lt;&gt;"",_xlfn.XLOOKUP(B225,'Client list'!B:B,'Client list'!A:A),"")</f>
        <v/>
      </c>
      <c r="F225" t="str">
        <f t="shared" si="16"/>
        <v/>
      </c>
      <c r="G225" s="3"/>
      <c r="H225" s="4" t="str">
        <f t="shared" si="17"/>
        <v/>
      </c>
      <c r="I225" t="str">
        <f t="shared" si="18"/>
        <v/>
      </c>
      <c r="J225" s="2"/>
      <c r="K225" t="str">
        <f t="shared" si="19"/>
        <v/>
      </c>
    </row>
    <row r="226" spans="1:11">
      <c r="A226" t="str">
        <f t="shared" si="15"/>
        <v/>
      </c>
      <c r="C226" t="str">
        <f>IF(B226&lt;&gt;"",_xlfn.XLOOKUP(B226,'Client list'!B:B,'Client list'!A:A),"")</f>
        <v/>
      </c>
      <c r="F226" t="str">
        <f t="shared" si="16"/>
        <v/>
      </c>
      <c r="G226" s="3"/>
      <c r="H226" s="4" t="str">
        <f t="shared" si="17"/>
        <v/>
      </c>
      <c r="I226" t="str">
        <f t="shared" si="18"/>
        <v/>
      </c>
      <c r="J226" s="2"/>
      <c r="K226" t="str">
        <f t="shared" si="19"/>
        <v/>
      </c>
    </row>
    <row r="227" spans="1:11">
      <c r="A227" t="str">
        <f t="shared" si="15"/>
        <v/>
      </c>
      <c r="C227" t="str">
        <f>IF(B227&lt;&gt;"",_xlfn.XLOOKUP(B227,'Client list'!B:B,'Client list'!A:A),"")</f>
        <v/>
      </c>
      <c r="F227" t="str">
        <f t="shared" si="16"/>
        <v/>
      </c>
      <c r="G227" s="3"/>
      <c r="H227" s="4" t="str">
        <f t="shared" si="17"/>
        <v/>
      </c>
      <c r="I227" t="str">
        <f t="shared" si="18"/>
        <v/>
      </c>
      <c r="J227" s="2"/>
      <c r="K227" t="str">
        <f t="shared" si="19"/>
        <v/>
      </c>
    </row>
    <row r="228" spans="1:11">
      <c r="A228" t="str">
        <f t="shared" si="15"/>
        <v/>
      </c>
      <c r="C228" t="str">
        <f>IF(B228&lt;&gt;"",_xlfn.XLOOKUP(B228,'Client list'!B:B,'Client list'!A:A),"")</f>
        <v/>
      </c>
      <c r="F228" t="str">
        <f t="shared" si="16"/>
        <v/>
      </c>
      <c r="G228" s="3"/>
      <c r="H228" s="4" t="str">
        <f t="shared" si="17"/>
        <v/>
      </c>
      <c r="I228" t="str">
        <f t="shared" si="18"/>
        <v/>
      </c>
      <c r="J228" s="2"/>
      <c r="K228" t="str">
        <f t="shared" si="19"/>
        <v/>
      </c>
    </row>
    <row r="229" spans="1:11">
      <c r="A229" t="str">
        <f t="shared" si="15"/>
        <v/>
      </c>
      <c r="C229" t="str">
        <f>IF(B229&lt;&gt;"",_xlfn.XLOOKUP(B229,'Client list'!B:B,'Client list'!A:A),"")</f>
        <v/>
      </c>
      <c r="F229" t="str">
        <f t="shared" si="16"/>
        <v/>
      </c>
      <c r="G229" s="3"/>
      <c r="H229" s="4" t="str">
        <f t="shared" si="17"/>
        <v/>
      </c>
      <c r="I229" t="str">
        <f t="shared" si="18"/>
        <v/>
      </c>
      <c r="J229" s="2"/>
      <c r="K229" t="str">
        <f t="shared" si="19"/>
        <v/>
      </c>
    </row>
    <row r="230" spans="1:11">
      <c r="A230" t="str">
        <f t="shared" si="15"/>
        <v/>
      </c>
      <c r="C230" t="str">
        <f>IF(B230&lt;&gt;"",_xlfn.XLOOKUP(B230,'Client list'!B:B,'Client list'!A:A),"")</f>
        <v/>
      </c>
      <c r="F230" t="str">
        <f t="shared" si="16"/>
        <v/>
      </c>
      <c r="G230" s="3"/>
      <c r="H230" s="4" t="str">
        <f t="shared" si="17"/>
        <v/>
      </c>
      <c r="I230" t="str">
        <f t="shared" si="18"/>
        <v/>
      </c>
      <c r="J230" s="2"/>
      <c r="K230" t="str">
        <f t="shared" si="19"/>
        <v/>
      </c>
    </row>
    <row r="231" spans="1:11">
      <c r="A231" t="str">
        <f t="shared" si="15"/>
        <v/>
      </c>
      <c r="C231" t="str">
        <f>IF(B231&lt;&gt;"",_xlfn.XLOOKUP(B231,'Client list'!B:B,'Client list'!A:A),"")</f>
        <v/>
      </c>
      <c r="F231" t="str">
        <f t="shared" si="16"/>
        <v/>
      </c>
      <c r="G231" s="3"/>
      <c r="H231" s="4" t="str">
        <f t="shared" si="17"/>
        <v/>
      </c>
      <c r="I231" t="str">
        <f t="shared" si="18"/>
        <v/>
      </c>
      <c r="J231" s="2"/>
      <c r="K231" t="str">
        <f t="shared" si="19"/>
        <v/>
      </c>
    </row>
    <row r="232" spans="1:11">
      <c r="A232" t="str">
        <f t="shared" si="15"/>
        <v/>
      </c>
      <c r="C232" t="str">
        <f>IF(B232&lt;&gt;"",_xlfn.XLOOKUP(B232,'Client list'!B:B,'Client list'!A:A),"")</f>
        <v/>
      </c>
      <c r="F232" t="str">
        <f t="shared" si="16"/>
        <v/>
      </c>
      <c r="G232" s="3"/>
      <c r="H232" s="4" t="str">
        <f t="shared" si="17"/>
        <v/>
      </c>
      <c r="I232" t="str">
        <f t="shared" si="18"/>
        <v/>
      </c>
      <c r="J232" s="2"/>
      <c r="K232" t="str">
        <f t="shared" si="19"/>
        <v/>
      </c>
    </row>
    <row r="233" spans="1:11">
      <c r="A233" t="str">
        <f t="shared" si="15"/>
        <v/>
      </c>
      <c r="C233" t="str">
        <f>IF(B233&lt;&gt;"",_xlfn.XLOOKUP(B233,'Client list'!B:B,'Client list'!A:A),"")</f>
        <v/>
      </c>
      <c r="F233" t="str">
        <f t="shared" si="16"/>
        <v/>
      </c>
      <c r="G233" s="3"/>
      <c r="H233" s="4" t="str">
        <f t="shared" si="17"/>
        <v/>
      </c>
      <c r="I233" t="str">
        <f t="shared" si="18"/>
        <v/>
      </c>
      <c r="J233" s="2"/>
      <c r="K233" t="str">
        <f t="shared" si="19"/>
        <v/>
      </c>
    </row>
    <row r="234" spans="1:11">
      <c r="A234" t="str">
        <f t="shared" si="15"/>
        <v/>
      </c>
      <c r="C234" t="str">
        <f>IF(B234&lt;&gt;"",_xlfn.XLOOKUP(B234,'Client list'!B:B,'Client list'!A:A),"")</f>
        <v/>
      </c>
      <c r="F234" t="str">
        <f t="shared" si="16"/>
        <v/>
      </c>
      <c r="G234" s="3"/>
      <c r="H234" s="4" t="str">
        <f t="shared" si="17"/>
        <v/>
      </c>
      <c r="I234" t="str">
        <f t="shared" si="18"/>
        <v/>
      </c>
      <c r="J234" s="2"/>
      <c r="K234" t="str">
        <f t="shared" si="19"/>
        <v/>
      </c>
    </row>
    <row r="235" spans="1:11">
      <c r="A235" t="str">
        <f t="shared" si="15"/>
        <v/>
      </c>
      <c r="C235" t="str">
        <f>IF(B235&lt;&gt;"",_xlfn.XLOOKUP(B235,'Client list'!B:B,'Client list'!A:A),"")</f>
        <v/>
      </c>
      <c r="F235" t="str">
        <f t="shared" si="16"/>
        <v/>
      </c>
      <c r="G235" s="3"/>
      <c r="H235" s="4" t="str">
        <f t="shared" si="17"/>
        <v/>
      </c>
      <c r="I235" t="str">
        <f t="shared" si="18"/>
        <v/>
      </c>
      <c r="J235" s="2"/>
      <c r="K235" t="str">
        <f t="shared" si="19"/>
        <v/>
      </c>
    </row>
    <row r="236" spans="1:11">
      <c r="A236" t="str">
        <f t="shared" si="15"/>
        <v/>
      </c>
      <c r="C236" t="str">
        <f>IF(B236&lt;&gt;"",_xlfn.XLOOKUP(B236,'Client list'!B:B,'Client list'!A:A),"")</f>
        <v/>
      </c>
      <c r="F236" t="str">
        <f t="shared" si="16"/>
        <v/>
      </c>
      <c r="G236" s="3"/>
      <c r="H236" s="4" t="str">
        <f t="shared" si="17"/>
        <v/>
      </c>
      <c r="I236" t="str">
        <f t="shared" si="18"/>
        <v/>
      </c>
      <c r="J236" s="2"/>
      <c r="K236" t="str">
        <f t="shared" si="19"/>
        <v/>
      </c>
    </row>
    <row r="237" spans="1:11">
      <c r="A237" t="str">
        <f t="shared" si="15"/>
        <v/>
      </c>
      <c r="C237" t="str">
        <f>IF(B237&lt;&gt;"",_xlfn.XLOOKUP(B237,'Client list'!B:B,'Client list'!A:A),"")</f>
        <v/>
      </c>
      <c r="F237" t="str">
        <f t="shared" si="16"/>
        <v/>
      </c>
      <c r="G237" s="3"/>
      <c r="H237" s="4" t="str">
        <f t="shared" si="17"/>
        <v/>
      </c>
      <c r="I237" t="str">
        <f t="shared" si="18"/>
        <v/>
      </c>
      <c r="J237" s="2"/>
      <c r="K237" t="str">
        <f t="shared" si="19"/>
        <v/>
      </c>
    </row>
    <row r="238" spans="1:11">
      <c r="A238" t="str">
        <f t="shared" si="15"/>
        <v/>
      </c>
      <c r="C238" t="str">
        <f>IF(B238&lt;&gt;"",_xlfn.XLOOKUP(B238,'Client list'!B:B,'Client list'!A:A),"")</f>
        <v/>
      </c>
      <c r="F238" t="str">
        <f t="shared" si="16"/>
        <v/>
      </c>
      <c r="G238" s="3"/>
      <c r="H238" s="4" t="str">
        <f t="shared" si="17"/>
        <v/>
      </c>
      <c r="I238" t="str">
        <f t="shared" si="18"/>
        <v/>
      </c>
      <c r="J238" s="2"/>
      <c r="K238" t="str">
        <f t="shared" si="19"/>
        <v/>
      </c>
    </row>
    <row r="239" spans="1:11">
      <c r="A239" t="str">
        <f t="shared" si="15"/>
        <v/>
      </c>
      <c r="C239" t="str">
        <f>IF(B239&lt;&gt;"",_xlfn.XLOOKUP(B239,'Client list'!B:B,'Client list'!A:A),"")</f>
        <v/>
      </c>
      <c r="F239" t="str">
        <f t="shared" si="16"/>
        <v/>
      </c>
      <c r="G239" s="3"/>
      <c r="H239" s="4" t="str">
        <f t="shared" si="17"/>
        <v/>
      </c>
      <c r="I239" t="str">
        <f t="shared" si="18"/>
        <v/>
      </c>
      <c r="J239" s="2"/>
      <c r="K239" t="str">
        <f t="shared" si="19"/>
        <v/>
      </c>
    </row>
    <row r="240" spans="1:11">
      <c r="A240" t="str">
        <f t="shared" si="15"/>
        <v/>
      </c>
      <c r="C240" t="str">
        <f>IF(B240&lt;&gt;"",_xlfn.XLOOKUP(B240,'Client list'!B:B,'Client list'!A:A),"")</f>
        <v/>
      </c>
      <c r="F240" t="str">
        <f t="shared" si="16"/>
        <v/>
      </c>
      <c r="G240" s="3"/>
      <c r="H240" s="4" t="str">
        <f t="shared" si="17"/>
        <v/>
      </c>
      <c r="I240" t="str">
        <f t="shared" si="18"/>
        <v/>
      </c>
      <c r="J240" s="2"/>
      <c r="K240" t="str">
        <f t="shared" si="19"/>
        <v/>
      </c>
    </row>
    <row r="241" spans="1:11">
      <c r="A241" t="str">
        <f t="shared" si="15"/>
        <v/>
      </c>
      <c r="C241" t="str">
        <f>IF(B241&lt;&gt;"",_xlfn.XLOOKUP(B241,'Client list'!B:B,'Client list'!A:A),"")</f>
        <v/>
      </c>
      <c r="F241" t="str">
        <f t="shared" si="16"/>
        <v/>
      </c>
      <c r="G241" s="3"/>
      <c r="H241" s="4" t="str">
        <f t="shared" si="17"/>
        <v/>
      </c>
      <c r="I241" t="str">
        <f t="shared" si="18"/>
        <v/>
      </c>
      <c r="J241" s="2"/>
      <c r="K241" t="str">
        <f t="shared" si="19"/>
        <v/>
      </c>
    </row>
    <row r="242" spans="1:11">
      <c r="A242" t="str">
        <f t="shared" si="15"/>
        <v/>
      </c>
      <c r="C242" t="str">
        <f>IF(B242&lt;&gt;"",_xlfn.XLOOKUP(B242,'Client list'!B:B,'Client list'!A:A),"")</f>
        <v/>
      </c>
      <c r="F242" t="str">
        <f t="shared" si="16"/>
        <v/>
      </c>
      <c r="G242" s="3"/>
      <c r="H242" s="4" t="str">
        <f t="shared" si="17"/>
        <v/>
      </c>
      <c r="I242" t="str">
        <f t="shared" si="18"/>
        <v/>
      </c>
      <c r="J242" s="2"/>
      <c r="K242" t="str">
        <f t="shared" si="19"/>
        <v/>
      </c>
    </row>
    <row r="243" spans="1:11">
      <c r="A243" t="str">
        <f t="shared" si="15"/>
        <v/>
      </c>
      <c r="C243" t="str">
        <f>IF(B243&lt;&gt;"",_xlfn.XLOOKUP(B243,'Client list'!B:B,'Client list'!A:A),"")</f>
        <v/>
      </c>
      <c r="F243" t="str">
        <f t="shared" si="16"/>
        <v/>
      </c>
      <c r="G243" s="3"/>
      <c r="H243" s="4" t="str">
        <f t="shared" si="17"/>
        <v/>
      </c>
      <c r="I243" t="str">
        <f t="shared" si="18"/>
        <v/>
      </c>
      <c r="J243" s="2"/>
      <c r="K243" t="str">
        <f t="shared" si="19"/>
        <v/>
      </c>
    </row>
    <row r="244" spans="1:11">
      <c r="A244" t="str">
        <f t="shared" si="15"/>
        <v/>
      </c>
      <c r="C244" t="str">
        <f>IF(B244&lt;&gt;"",_xlfn.XLOOKUP(B244,'Client list'!B:B,'Client list'!A:A),"")</f>
        <v/>
      </c>
      <c r="F244" t="str">
        <f t="shared" si="16"/>
        <v/>
      </c>
      <c r="G244" s="3"/>
      <c r="H244" s="4" t="str">
        <f t="shared" si="17"/>
        <v/>
      </c>
      <c r="I244" t="str">
        <f t="shared" si="18"/>
        <v/>
      </c>
      <c r="J244" s="2"/>
      <c r="K244" t="str">
        <f t="shared" si="19"/>
        <v/>
      </c>
    </row>
    <row r="245" spans="1:11">
      <c r="A245" t="str">
        <f t="shared" si="15"/>
        <v/>
      </c>
      <c r="C245" t="str">
        <f>IF(B245&lt;&gt;"",_xlfn.XLOOKUP(B245,'Client list'!B:B,'Client list'!A:A),"")</f>
        <v/>
      </c>
      <c r="F245" t="str">
        <f t="shared" si="16"/>
        <v/>
      </c>
      <c r="G245" s="3"/>
      <c r="H245" s="4" t="str">
        <f t="shared" si="17"/>
        <v/>
      </c>
      <c r="I245" t="str">
        <f t="shared" si="18"/>
        <v/>
      </c>
      <c r="J245" s="2"/>
      <c r="K245" t="str">
        <f t="shared" si="19"/>
        <v/>
      </c>
    </row>
    <row r="246" spans="1:11">
      <c r="A246" t="str">
        <f t="shared" si="15"/>
        <v/>
      </c>
      <c r="C246" t="str">
        <f>IF(B246&lt;&gt;"",_xlfn.XLOOKUP(B246,'Client list'!B:B,'Client list'!A:A),"")</f>
        <v/>
      </c>
      <c r="F246" t="str">
        <f t="shared" si="16"/>
        <v/>
      </c>
      <c r="G246" s="3"/>
      <c r="H246" s="4" t="str">
        <f t="shared" si="17"/>
        <v/>
      </c>
      <c r="I246" t="str">
        <f t="shared" si="18"/>
        <v/>
      </c>
      <c r="J246" s="2"/>
      <c r="K246" t="str">
        <f t="shared" si="19"/>
        <v/>
      </c>
    </row>
    <row r="247" spans="1:11">
      <c r="A247" t="str">
        <f t="shared" si="15"/>
        <v/>
      </c>
      <c r="C247" t="str">
        <f>IF(B247&lt;&gt;"",_xlfn.XLOOKUP(B247,'Client list'!B:B,'Client list'!A:A),"")</f>
        <v/>
      </c>
      <c r="F247" t="str">
        <f t="shared" si="16"/>
        <v/>
      </c>
      <c r="G247" s="3"/>
      <c r="H247" s="4" t="str">
        <f t="shared" si="17"/>
        <v/>
      </c>
      <c r="I247" t="str">
        <f t="shared" si="18"/>
        <v/>
      </c>
      <c r="J247" s="2"/>
      <c r="K247" t="str">
        <f t="shared" si="19"/>
        <v/>
      </c>
    </row>
    <row r="248" spans="1:11">
      <c r="A248" t="str">
        <f t="shared" si="15"/>
        <v/>
      </c>
      <c r="C248" t="str">
        <f>IF(B248&lt;&gt;"",_xlfn.XLOOKUP(B248,'Client list'!B:B,'Client list'!A:A),"")</f>
        <v/>
      </c>
      <c r="F248" t="str">
        <f t="shared" si="16"/>
        <v/>
      </c>
      <c r="G248" s="3"/>
      <c r="H248" s="4" t="str">
        <f t="shared" si="17"/>
        <v/>
      </c>
      <c r="I248" t="str">
        <f t="shared" si="18"/>
        <v/>
      </c>
      <c r="J248" s="2"/>
      <c r="K248" t="str">
        <f t="shared" si="19"/>
        <v/>
      </c>
    </row>
    <row r="249" spans="1:11">
      <c r="A249" t="str">
        <f t="shared" si="15"/>
        <v/>
      </c>
      <c r="C249" t="str">
        <f>IF(B249&lt;&gt;"",_xlfn.XLOOKUP(B249,'Client list'!B:B,'Client list'!A:A),"")</f>
        <v/>
      </c>
      <c r="F249" t="str">
        <f t="shared" si="16"/>
        <v/>
      </c>
      <c r="G249" s="3"/>
      <c r="H249" s="4" t="str">
        <f t="shared" si="17"/>
        <v/>
      </c>
      <c r="I249" t="str">
        <f t="shared" si="18"/>
        <v/>
      </c>
      <c r="J249" s="2"/>
      <c r="K249" t="str">
        <f t="shared" si="19"/>
        <v/>
      </c>
    </row>
    <row r="250" spans="1:11">
      <c r="A250" t="str">
        <f t="shared" si="15"/>
        <v/>
      </c>
      <c r="C250" t="str">
        <f>IF(B250&lt;&gt;"",_xlfn.XLOOKUP(B250,'Client list'!B:B,'Client list'!A:A),"")</f>
        <v/>
      </c>
      <c r="F250" t="str">
        <f t="shared" si="16"/>
        <v/>
      </c>
      <c r="G250" s="3"/>
      <c r="H250" s="4" t="str">
        <f t="shared" si="17"/>
        <v/>
      </c>
      <c r="I250" t="str">
        <f t="shared" si="18"/>
        <v/>
      </c>
      <c r="J250" s="2"/>
      <c r="K250" t="str">
        <f t="shared" si="19"/>
        <v/>
      </c>
    </row>
    <row r="251" spans="9:9">
      <c r="I251" t="str">
        <f t="shared" si="18"/>
        <v/>
      </c>
    </row>
  </sheetData>
  <dataValidations count="4">
    <dataValidation type="list" allowBlank="1" showInputMessage="1" showErrorMessage="1" sqref="B2:B250">
      <formula1>Clientlist1</formula1>
    </dataValidation>
    <dataValidation type="list" allowBlank="1" showInputMessage="1" showErrorMessage="1" sqref="G2:G250">
      <formula1>"0,0.05,0.1,0.15,0.2,0.25,0.30"</formula1>
    </dataValidation>
    <dataValidation allowBlank="1" showInputMessage="1" showErrorMessage="1" errorTitle="Invalid Entry" error="Please Input data in this format (MM/DD/YYYY)" sqref="J2:J250"/>
    <dataValidation type="list" allowBlank="1" showInputMessage="1" showErrorMessage="1" sqref="L2:L250">
      <formula1>"Bad Debt"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0"/>
  <sheetViews>
    <sheetView tabSelected="1" workbookViewId="0">
      <selection activeCell="F1" sqref="F1"/>
    </sheetView>
  </sheetViews>
  <sheetFormatPr defaultColWidth="9" defaultRowHeight="15" outlineLevelCol="6"/>
  <cols>
    <col min="1" max="1" width="10.375" customWidth="1"/>
    <col min="2" max="2" width="12.5" customWidth="1"/>
    <col min="3" max="3" width="10.375" customWidth="1"/>
    <col min="4" max="4" width="15.875" customWidth="1"/>
    <col min="5" max="5" width="13.375" customWidth="1"/>
    <col min="6" max="6" width="19.5" customWidth="1"/>
    <col min="7" max="7" width="11.75" customWidth="1"/>
    <col min="8" max="8" width="10.375" customWidth="1"/>
  </cols>
  <sheetData>
    <row r="1" spans="1:7">
      <c r="A1" t="s">
        <v>34</v>
      </c>
      <c r="B1" t="s">
        <v>35</v>
      </c>
      <c r="C1" t="s">
        <v>23</v>
      </c>
      <c r="D1" t="s">
        <v>1</v>
      </c>
      <c r="E1" t="s">
        <v>29</v>
      </c>
      <c r="F1" t="s">
        <v>36</v>
      </c>
      <c r="G1" t="s">
        <v>37</v>
      </c>
    </row>
    <row r="2" spans="1:7">
      <c r="A2" t="str">
        <f>IF(B2&lt;&gt;"","P"&amp;ROW()-1,"")</f>
        <v>P1</v>
      </c>
      <c r="B2" t="s">
        <v>38</v>
      </c>
      <c r="C2" t="str">
        <f>IF(B2&lt;&gt;"",(LEFT(B2,FIND(" |",B2)-1)),"")</f>
        <v>LN4</v>
      </c>
      <c r="D2" t="str">
        <f>IF(C2&lt;&gt;"",(_xlfn.XLOOKUP(C2,'Loan Out'!A:A,'Loan Out'!B:B)),"")</f>
        <v>Pauline Kayaja</v>
      </c>
      <c r="E2">
        <f>IF(B2&lt;&gt;"",(_xlfn.XLOOKUP(C2,'Loan Out'!A:A,'Loan Out'!I:I)),"")</f>
        <v>4600</v>
      </c>
      <c r="F2" s="2">
        <v>45869</v>
      </c>
      <c r="G2">
        <v>3000</v>
      </c>
    </row>
    <row r="3" spans="1:7">
      <c r="A3" t="str">
        <f t="shared" ref="A3:A66" si="0">IF(B3&lt;&gt;"","P"&amp;ROW()-1,"")</f>
        <v>P2</v>
      </c>
      <c r="B3" t="s">
        <v>39</v>
      </c>
      <c r="C3" t="str">
        <f t="shared" ref="C3:C66" si="1">IF(B3&lt;&gt;"",(LEFT(B3,FIND(" |",B3)-1)),"")</f>
        <v>LN6</v>
      </c>
      <c r="D3" t="str">
        <f>IF(C3&lt;&gt;"",(_xlfn.XLOOKUP(C3,'Loan Out'!A:A,'Loan Out'!B:B)),"")</f>
        <v>James Nganga</v>
      </c>
      <c r="E3">
        <f>IF(B3&lt;&gt;"",(_xlfn.XLOOKUP(C3,'Loan Out'!A:A,'Loan Out'!I:I)),"")</f>
        <v>4600</v>
      </c>
      <c r="F3" s="2">
        <v>45991</v>
      </c>
      <c r="G3">
        <v>4600</v>
      </c>
    </row>
    <row r="4" spans="1:7">
      <c r="A4" t="str">
        <f t="shared" si="0"/>
        <v>P3</v>
      </c>
      <c r="B4" t="s">
        <v>40</v>
      </c>
      <c r="C4" t="str">
        <f t="shared" si="1"/>
        <v>LN7</v>
      </c>
      <c r="D4" t="str">
        <f>IF(C4&lt;&gt;"",(_xlfn.XLOOKUP(C4,'Loan Out'!A:A,'Loan Out'!B:B)),"")</f>
        <v>Edmond Odongo</v>
      </c>
      <c r="E4">
        <f>IF(B4&lt;&gt;"",(_xlfn.XLOOKUP(C4,'Loan Out'!A:A,'Loan Out'!I:I)),"")</f>
        <v>5750</v>
      </c>
      <c r="F4" s="2">
        <v>45991</v>
      </c>
      <c r="G4">
        <v>5750</v>
      </c>
    </row>
    <row r="5" spans="1:7">
      <c r="A5" t="str">
        <f t="shared" si="0"/>
        <v>P4</v>
      </c>
      <c r="B5" t="s">
        <v>41</v>
      </c>
      <c r="C5" t="str">
        <f t="shared" si="1"/>
        <v>LN9</v>
      </c>
      <c r="D5" t="str">
        <f>IF(C5&lt;&gt;"",(_xlfn.XLOOKUP(C5,'Loan Out'!A:A,'Loan Out'!B:B)),"")</f>
        <v>Aluchio Caren</v>
      </c>
      <c r="E5">
        <f>IF(B5&lt;&gt;"",(_xlfn.XLOOKUP(C5,'Loan Out'!A:A,'Loan Out'!I:I)),"")</f>
        <v>1500</v>
      </c>
      <c r="F5" s="2">
        <v>45996</v>
      </c>
      <c r="G5">
        <v>1600</v>
      </c>
    </row>
    <row r="6" spans="1:7">
      <c r="A6" t="str">
        <f t="shared" si="0"/>
        <v>P5</v>
      </c>
      <c r="B6" t="s">
        <v>42</v>
      </c>
      <c r="C6" t="str">
        <f t="shared" si="1"/>
        <v>LN10</v>
      </c>
      <c r="D6" t="str">
        <f>IF(C6&lt;&gt;"",(_xlfn.XLOOKUP(C6,'Loan Out'!A:A,'Loan Out'!B:B)),"")</f>
        <v>James Nganga</v>
      </c>
      <c r="E6">
        <f>IF(B6&lt;&gt;"",(_xlfn.XLOOKUP(C6,'Loan Out'!A:A,'Loan Out'!I:I)),"")</f>
        <v>1150</v>
      </c>
      <c r="F6" s="2">
        <v>45991</v>
      </c>
      <c r="G6">
        <v>1150</v>
      </c>
    </row>
    <row r="7" spans="1:7">
      <c r="A7" t="str">
        <f t="shared" si="0"/>
        <v>P6</v>
      </c>
      <c r="B7" t="s">
        <v>43</v>
      </c>
      <c r="C7" t="str">
        <f t="shared" si="1"/>
        <v>LN11</v>
      </c>
      <c r="D7" t="str">
        <f>IF(C7&lt;&gt;"",(_xlfn.XLOOKUP(C7,'Loan Out'!A:A,'Loan Out'!B:B)),"")</f>
        <v>Elvis Mbaya</v>
      </c>
      <c r="E7">
        <f>IF(B7&lt;&gt;"",(_xlfn.XLOOKUP(C7,'Loan Out'!A:A,'Loan Out'!I:I)),"")</f>
        <v>16500</v>
      </c>
      <c r="F7" s="2">
        <v>45991</v>
      </c>
      <c r="G7">
        <v>10000</v>
      </c>
    </row>
    <row r="8" spans="1:7">
      <c r="A8" t="str">
        <f t="shared" si="0"/>
        <v>P7</v>
      </c>
      <c r="B8" t="s">
        <v>44</v>
      </c>
      <c r="C8" t="str">
        <f t="shared" si="1"/>
        <v>LN12</v>
      </c>
      <c r="D8" t="str">
        <f>IF(C8&lt;&gt;"",(_xlfn.XLOOKUP(C8,'Loan Out'!A:A,'Loan Out'!B:B)),"")</f>
        <v>Edmond Odongo</v>
      </c>
      <c r="E8">
        <f>IF(B8&lt;&gt;"",(_xlfn.XLOOKUP(C8,'Loan Out'!A:A,'Loan Out'!I:I)),"")</f>
        <v>5750</v>
      </c>
      <c r="F8" s="2">
        <v>46015</v>
      </c>
      <c r="G8">
        <v>5750</v>
      </c>
    </row>
    <row r="9" spans="1:7">
      <c r="A9" t="str">
        <f t="shared" si="0"/>
        <v>P8</v>
      </c>
      <c r="B9" t="s">
        <v>45</v>
      </c>
      <c r="C9" t="str">
        <f t="shared" si="1"/>
        <v>LN13</v>
      </c>
      <c r="D9" t="str">
        <f>IF(C9&lt;&gt;"",(_xlfn.XLOOKUP(C9,'Loan Out'!A:A,'Loan Out'!B:B)),"")</f>
        <v>James Nganga</v>
      </c>
      <c r="E9">
        <f>IF(B9&lt;&gt;"",(_xlfn.XLOOKUP(C9,'Loan Out'!A:A,'Loan Out'!I:I)),"")</f>
        <v>3450</v>
      </c>
      <c r="F9" s="2">
        <v>46015</v>
      </c>
      <c r="G9">
        <v>3450</v>
      </c>
    </row>
    <row r="10" spans="1:7">
      <c r="A10" t="str">
        <f t="shared" si="0"/>
        <v>P9</v>
      </c>
      <c r="B10" t="s">
        <v>46</v>
      </c>
      <c r="C10" t="str">
        <f t="shared" si="1"/>
        <v>LN14</v>
      </c>
      <c r="D10" t="str">
        <f>IF(C10&lt;&gt;"",(_xlfn.XLOOKUP(C10,'Loan Out'!A:A,'Loan Out'!B:B)),"")</f>
        <v>Edmond Odongo</v>
      </c>
      <c r="E10">
        <f>IF(B10&lt;&gt;"",(_xlfn.XLOOKUP(C10,'Loan Out'!A:A,'Loan Out'!I:I)),"")</f>
        <v>2300</v>
      </c>
      <c r="F10" s="2">
        <v>46015</v>
      </c>
      <c r="G10">
        <v>2300</v>
      </c>
    </row>
    <row r="11" spans="1:7">
      <c r="A11" t="str">
        <f t="shared" si="0"/>
        <v>P10</v>
      </c>
      <c r="B11" t="s">
        <v>47</v>
      </c>
      <c r="C11" t="str">
        <f t="shared" si="1"/>
        <v>LN17</v>
      </c>
      <c r="D11" t="str">
        <f>IF(C11&lt;&gt;"",(_xlfn.XLOOKUP(C11,'Loan Out'!A:A,'Loan Out'!B:B)),"")</f>
        <v>Felicity</v>
      </c>
      <c r="E11">
        <f>IF(B11&lt;&gt;"",(_xlfn.XLOOKUP(C11,'Loan Out'!A:A,'Loan Out'!I:I)),"")</f>
        <v>1000</v>
      </c>
      <c r="F11" s="2">
        <v>46038</v>
      </c>
      <c r="G11">
        <v>1000</v>
      </c>
    </row>
    <row r="12" spans="1:6">
      <c r="A12" t="str">
        <f t="shared" si="0"/>
        <v/>
      </c>
      <c r="C12" t="str">
        <f t="shared" si="1"/>
        <v/>
      </c>
      <c r="D12" t="str">
        <f>IF(C12&lt;&gt;"",(_xlfn.XLOOKUP(C12,'Loan Out'!A:A,'Loan Out'!B:B)),"")</f>
        <v/>
      </c>
      <c r="E12" t="str">
        <f>IF(B12&lt;&gt;"",(_xlfn.XLOOKUP(C12,'Loan Out'!A:A,'Loan Out'!I:I)),"")</f>
        <v/>
      </c>
      <c r="F12" s="2"/>
    </row>
    <row r="13" spans="1:6">
      <c r="A13" t="str">
        <f t="shared" si="0"/>
        <v/>
      </c>
      <c r="C13" t="str">
        <f t="shared" si="1"/>
        <v/>
      </c>
      <c r="D13" t="str">
        <f>IF(C13&lt;&gt;"",(_xlfn.XLOOKUP(C13,'Loan Out'!A:A,'Loan Out'!B:B)),"")</f>
        <v/>
      </c>
      <c r="E13" t="str">
        <f>IF(B13&lt;&gt;"",(_xlfn.XLOOKUP(C13,'Loan Out'!A:A,'Loan Out'!I:I)),"")</f>
        <v/>
      </c>
      <c r="F13" s="2"/>
    </row>
    <row r="14" spans="1:6">
      <c r="A14" t="str">
        <f t="shared" si="0"/>
        <v/>
      </c>
      <c r="C14" t="str">
        <f t="shared" si="1"/>
        <v/>
      </c>
      <c r="D14" t="str">
        <f>IF(C14&lt;&gt;"",(_xlfn.XLOOKUP(C14,'Loan Out'!A:A,'Loan Out'!B:B)),"")</f>
        <v/>
      </c>
      <c r="E14" t="str">
        <f>IF(B14&lt;&gt;"",(_xlfn.XLOOKUP(C14,'Loan Out'!A:A,'Loan Out'!I:I)),"")</f>
        <v/>
      </c>
      <c r="F14" s="2"/>
    </row>
    <row r="15" spans="1:6">
      <c r="A15" t="str">
        <f t="shared" si="0"/>
        <v/>
      </c>
      <c r="C15" t="str">
        <f t="shared" si="1"/>
        <v/>
      </c>
      <c r="D15" t="str">
        <f>IF(C15&lt;&gt;"",(_xlfn.XLOOKUP(C15,'Loan Out'!A:A,'Loan Out'!B:B)),"")</f>
        <v/>
      </c>
      <c r="E15" t="str">
        <f>IF(B15&lt;&gt;"",(_xlfn.XLOOKUP(C15,'Loan Out'!A:A,'Loan Out'!I:I)),"")</f>
        <v/>
      </c>
      <c r="F15" s="2"/>
    </row>
    <row r="16" spans="1:6">
      <c r="A16" t="str">
        <f t="shared" si="0"/>
        <v/>
      </c>
      <c r="C16" t="str">
        <f t="shared" si="1"/>
        <v/>
      </c>
      <c r="D16" t="str">
        <f>IF(C16&lt;&gt;"",(_xlfn.XLOOKUP(C16,'Loan Out'!A:A,'Loan Out'!B:B)),"")</f>
        <v/>
      </c>
      <c r="E16" t="str">
        <f>IF(B16&lt;&gt;"",(_xlfn.XLOOKUP(C16,'Loan Out'!A:A,'Loan Out'!I:I)),"")</f>
        <v/>
      </c>
      <c r="F16" s="2"/>
    </row>
    <row r="17" spans="1:6">
      <c r="A17" t="str">
        <f t="shared" si="0"/>
        <v/>
      </c>
      <c r="C17" t="str">
        <f t="shared" si="1"/>
        <v/>
      </c>
      <c r="D17" t="str">
        <f>IF(C17&lt;&gt;"",(_xlfn.XLOOKUP(C17,'Loan Out'!A:A,'Loan Out'!B:B)),"")</f>
        <v/>
      </c>
      <c r="E17" t="str">
        <f>IF(B17&lt;&gt;"",(_xlfn.XLOOKUP(C17,'Loan Out'!A:A,'Loan Out'!I:I)),"")</f>
        <v/>
      </c>
      <c r="F17" s="2"/>
    </row>
    <row r="18" spans="1:6">
      <c r="A18" t="str">
        <f t="shared" si="0"/>
        <v/>
      </c>
      <c r="C18" t="str">
        <f t="shared" si="1"/>
        <v/>
      </c>
      <c r="D18" t="str">
        <f>IF(C18&lt;&gt;"",(_xlfn.XLOOKUP(C18,'Loan Out'!A:A,'Loan Out'!B:B)),"")</f>
        <v/>
      </c>
      <c r="E18" t="str">
        <f>IF(B18&lt;&gt;"",(_xlfn.XLOOKUP(C18,'Loan Out'!A:A,'Loan Out'!I:I)),"")</f>
        <v/>
      </c>
      <c r="F18" s="2"/>
    </row>
    <row r="19" spans="1:6">
      <c r="A19" t="str">
        <f t="shared" si="0"/>
        <v/>
      </c>
      <c r="C19" t="str">
        <f t="shared" si="1"/>
        <v/>
      </c>
      <c r="D19" t="str">
        <f>IF(C19&lt;&gt;"",(_xlfn.XLOOKUP(C19,'Loan Out'!A:A,'Loan Out'!B:B)),"")</f>
        <v/>
      </c>
      <c r="E19" t="str">
        <f>IF(B19&lt;&gt;"",(_xlfn.XLOOKUP(C19,'Loan Out'!A:A,'Loan Out'!I:I)),"")</f>
        <v/>
      </c>
      <c r="F19" s="2"/>
    </row>
    <row r="20" spans="1:6">
      <c r="A20" t="str">
        <f t="shared" si="0"/>
        <v/>
      </c>
      <c r="C20" t="str">
        <f t="shared" si="1"/>
        <v/>
      </c>
      <c r="D20" t="str">
        <f>IF(C20&lt;&gt;"",(_xlfn.XLOOKUP(C20,'Loan Out'!A:A,'Loan Out'!B:B)),"")</f>
        <v/>
      </c>
      <c r="E20" t="str">
        <f>IF(B20&lt;&gt;"",(_xlfn.XLOOKUP(C20,'Loan Out'!A:A,'Loan Out'!I:I)),"")</f>
        <v/>
      </c>
      <c r="F20" s="2"/>
    </row>
    <row r="21" spans="1:6">
      <c r="A21" t="str">
        <f t="shared" si="0"/>
        <v/>
      </c>
      <c r="C21" t="str">
        <f t="shared" si="1"/>
        <v/>
      </c>
      <c r="D21" t="str">
        <f>IF(C21&lt;&gt;"",(_xlfn.XLOOKUP(C21,'Loan Out'!A:A,'Loan Out'!B:B)),"")</f>
        <v/>
      </c>
      <c r="E21" t="str">
        <f>IF(B21&lt;&gt;"",(_xlfn.XLOOKUP(C21,'Loan Out'!A:A,'Loan Out'!I:I)),"")</f>
        <v/>
      </c>
      <c r="F21" s="2"/>
    </row>
    <row r="22" spans="1:6">
      <c r="A22" t="str">
        <f t="shared" si="0"/>
        <v/>
      </c>
      <c r="C22" t="str">
        <f t="shared" si="1"/>
        <v/>
      </c>
      <c r="D22" t="str">
        <f>IF(C22&lt;&gt;"",(_xlfn.XLOOKUP(C22,'Loan Out'!A:A,'Loan Out'!B:B)),"")</f>
        <v/>
      </c>
      <c r="E22" t="str">
        <f>IF(B22&lt;&gt;"",(_xlfn.XLOOKUP(C22,'Loan Out'!A:A,'Loan Out'!I:I)),"")</f>
        <v/>
      </c>
      <c r="F22" s="2"/>
    </row>
    <row r="23" spans="1:6">
      <c r="A23" t="str">
        <f t="shared" si="0"/>
        <v/>
      </c>
      <c r="C23" t="str">
        <f t="shared" si="1"/>
        <v/>
      </c>
      <c r="D23" t="str">
        <f>IF(C23&lt;&gt;"",(_xlfn.XLOOKUP(C23,'Loan Out'!A:A,'Loan Out'!B:B)),"")</f>
        <v/>
      </c>
      <c r="E23" t="str">
        <f>IF(B23&lt;&gt;"",(_xlfn.XLOOKUP(C23,'Loan Out'!A:A,'Loan Out'!I:I)),"")</f>
        <v/>
      </c>
      <c r="F23" s="2"/>
    </row>
    <row r="24" spans="1:6">
      <c r="A24" t="str">
        <f t="shared" si="0"/>
        <v/>
      </c>
      <c r="C24" t="str">
        <f t="shared" si="1"/>
        <v/>
      </c>
      <c r="D24" t="str">
        <f>IF(C24&lt;&gt;"",(_xlfn.XLOOKUP(C24,'Loan Out'!A:A,'Loan Out'!B:B)),"")</f>
        <v/>
      </c>
      <c r="E24" t="str">
        <f>IF(B24&lt;&gt;"",(_xlfn.XLOOKUP(C24,'Loan Out'!A:A,'Loan Out'!I:I)),"")</f>
        <v/>
      </c>
      <c r="F24" s="2"/>
    </row>
    <row r="25" spans="1:6">
      <c r="A25" t="str">
        <f t="shared" si="0"/>
        <v/>
      </c>
      <c r="C25" t="str">
        <f t="shared" si="1"/>
        <v/>
      </c>
      <c r="D25" t="str">
        <f>IF(C25&lt;&gt;"",(_xlfn.XLOOKUP(C25,'Loan Out'!A:A,'Loan Out'!B:B)),"")</f>
        <v/>
      </c>
      <c r="E25" t="str">
        <f>IF(B25&lt;&gt;"",(_xlfn.XLOOKUP(C25,'Loan Out'!A:A,'Loan Out'!I:I)),"")</f>
        <v/>
      </c>
      <c r="F25" s="2"/>
    </row>
    <row r="26" spans="1:6">
      <c r="A26" t="str">
        <f t="shared" si="0"/>
        <v/>
      </c>
      <c r="C26" t="str">
        <f t="shared" si="1"/>
        <v/>
      </c>
      <c r="D26" t="str">
        <f>IF(C26&lt;&gt;"",(_xlfn.XLOOKUP(C26,'Loan Out'!A:A,'Loan Out'!B:B)),"")</f>
        <v/>
      </c>
      <c r="E26" t="str">
        <f>IF(B26&lt;&gt;"",(_xlfn.XLOOKUP(C26,'Loan Out'!A:A,'Loan Out'!I:I)),"")</f>
        <v/>
      </c>
      <c r="F26" s="2"/>
    </row>
    <row r="27" spans="1:6">
      <c r="A27" t="str">
        <f t="shared" si="0"/>
        <v/>
      </c>
      <c r="C27" t="str">
        <f t="shared" si="1"/>
        <v/>
      </c>
      <c r="D27" t="str">
        <f>IF(C27&lt;&gt;"",(_xlfn.XLOOKUP(C27,'Loan Out'!A:A,'Loan Out'!B:B)),"")</f>
        <v/>
      </c>
      <c r="E27" t="str">
        <f>IF(B27&lt;&gt;"",(_xlfn.XLOOKUP(C27,'Loan Out'!A:A,'Loan Out'!I:I)),"")</f>
        <v/>
      </c>
      <c r="F27" s="2"/>
    </row>
    <row r="28" spans="1:6">
      <c r="A28" t="str">
        <f t="shared" si="0"/>
        <v/>
      </c>
      <c r="C28" t="str">
        <f t="shared" si="1"/>
        <v/>
      </c>
      <c r="D28" t="str">
        <f>IF(C28&lt;&gt;"",(_xlfn.XLOOKUP(C28,'Loan Out'!A:A,'Loan Out'!B:B)),"")</f>
        <v/>
      </c>
      <c r="E28" t="str">
        <f>IF(B28&lt;&gt;"",(_xlfn.XLOOKUP(C28,'Loan Out'!A:A,'Loan Out'!I:I)),"")</f>
        <v/>
      </c>
      <c r="F28" s="2"/>
    </row>
    <row r="29" spans="1:6">
      <c r="A29" t="str">
        <f t="shared" si="0"/>
        <v/>
      </c>
      <c r="C29" t="str">
        <f t="shared" si="1"/>
        <v/>
      </c>
      <c r="D29" t="str">
        <f>IF(C29&lt;&gt;"",(_xlfn.XLOOKUP(C29,'Loan Out'!A:A,'Loan Out'!B:B)),"")</f>
        <v/>
      </c>
      <c r="E29" t="str">
        <f>IF(B29&lt;&gt;"",(_xlfn.XLOOKUP(C29,'Loan Out'!A:A,'Loan Out'!I:I)),"")</f>
        <v/>
      </c>
      <c r="F29" s="2"/>
    </row>
    <row r="30" spans="1:6">
      <c r="A30" t="str">
        <f t="shared" si="0"/>
        <v/>
      </c>
      <c r="C30" t="str">
        <f t="shared" si="1"/>
        <v/>
      </c>
      <c r="D30" t="str">
        <f>IF(C30&lt;&gt;"",(_xlfn.XLOOKUP(C30,'Loan Out'!A:A,'Loan Out'!B:B)),"")</f>
        <v/>
      </c>
      <c r="E30" t="str">
        <f>IF(B30&lt;&gt;"",(_xlfn.XLOOKUP(C30,'Loan Out'!A:A,'Loan Out'!I:I)),"")</f>
        <v/>
      </c>
      <c r="F30" s="2"/>
    </row>
    <row r="31" spans="1:6">
      <c r="A31" t="str">
        <f t="shared" si="0"/>
        <v/>
      </c>
      <c r="C31" t="str">
        <f t="shared" si="1"/>
        <v/>
      </c>
      <c r="D31" t="str">
        <f>IF(C31&lt;&gt;"",(_xlfn.XLOOKUP(C31,'Loan Out'!A:A,'Loan Out'!B:B)),"")</f>
        <v/>
      </c>
      <c r="E31" t="str">
        <f>IF(B31&lt;&gt;"",(_xlfn.XLOOKUP(C31,'Loan Out'!A:A,'Loan Out'!I:I)),"")</f>
        <v/>
      </c>
      <c r="F31" s="2"/>
    </row>
    <row r="32" spans="1:6">
      <c r="A32" t="str">
        <f t="shared" si="0"/>
        <v/>
      </c>
      <c r="C32" t="str">
        <f t="shared" si="1"/>
        <v/>
      </c>
      <c r="D32" t="str">
        <f>IF(C32&lt;&gt;"",(_xlfn.XLOOKUP(C32,'Loan Out'!A:A,'Loan Out'!B:B)),"")</f>
        <v/>
      </c>
      <c r="E32" t="str">
        <f>IF(B32&lt;&gt;"",(_xlfn.XLOOKUP(C32,'Loan Out'!A:A,'Loan Out'!I:I)),"")</f>
        <v/>
      </c>
      <c r="F32" s="2"/>
    </row>
    <row r="33" spans="1:6">
      <c r="A33" t="str">
        <f t="shared" si="0"/>
        <v/>
      </c>
      <c r="C33" t="str">
        <f t="shared" si="1"/>
        <v/>
      </c>
      <c r="D33" t="str">
        <f>IF(C33&lt;&gt;"",(_xlfn.XLOOKUP(C33,'Loan Out'!A:A,'Loan Out'!B:B)),"")</f>
        <v/>
      </c>
      <c r="E33" t="str">
        <f>IF(B33&lt;&gt;"",(_xlfn.XLOOKUP(C33,'Loan Out'!A:A,'Loan Out'!I:I)),"")</f>
        <v/>
      </c>
      <c r="F33" s="2"/>
    </row>
    <row r="34" spans="1:6">
      <c r="A34" t="str">
        <f t="shared" si="0"/>
        <v/>
      </c>
      <c r="C34" t="str">
        <f t="shared" si="1"/>
        <v/>
      </c>
      <c r="D34" t="str">
        <f>IF(C34&lt;&gt;"",(_xlfn.XLOOKUP(C34,'Loan Out'!A:A,'Loan Out'!B:B)),"")</f>
        <v/>
      </c>
      <c r="E34" t="str">
        <f>IF(B34&lt;&gt;"",(_xlfn.XLOOKUP(C34,'Loan Out'!A:A,'Loan Out'!I:I)),"")</f>
        <v/>
      </c>
      <c r="F34" s="2"/>
    </row>
    <row r="35" spans="1:6">
      <c r="A35" t="str">
        <f t="shared" si="0"/>
        <v/>
      </c>
      <c r="C35" t="str">
        <f t="shared" si="1"/>
        <v/>
      </c>
      <c r="D35" t="str">
        <f>IF(C35&lt;&gt;"",(_xlfn.XLOOKUP(C35,'Loan Out'!A:A,'Loan Out'!B:B)),"")</f>
        <v/>
      </c>
      <c r="E35" t="str">
        <f>IF(B35&lt;&gt;"",(_xlfn.XLOOKUP(C35,'Loan Out'!A:A,'Loan Out'!I:I)),"")</f>
        <v/>
      </c>
      <c r="F35" s="2"/>
    </row>
    <row r="36" spans="1:6">
      <c r="A36" t="str">
        <f t="shared" si="0"/>
        <v/>
      </c>
      <c r="C36" t="str">
        <f t="shared" si="1"/>
        <v/>
      </c>
      <c r="D36" t="str">
        <f>IF(C36&lt;&gt;"",(_xlfn.XLOOKUP(C36,'Loan Out'!A:A,'Loan Out'!B:B)),"")</f>
        <v/>
      </c>
      <c r="E36" t="str">
        <f>IF(B36&lt;&gt;"",(_xlfn.XLOOKUP(C36,'Loan Out'!A:A,'Loan Out'!I:I)),"")</f>
        <v/>
      </c>
      <c r="F36" s="2"/>
    </row>
    <row r="37" spans="1:6">
      <c r="A37" t="str">
        <f t="shared" si="0"/>
        <v/>
      </c>
      <c r="C37" t="str">
        <f t="shared" si="1"/>
        <v/>
      </c>
      <c r="D37" t="str">
        <f>IF(C37&lt;&gt;"",(_xlfn.XLOOKUP(C37,'Loan Out'!A:A,'Loan Out'!B:B)),"")</f>
        <v/>
      </c>
      <c r="E37" t="str">
        <f>IF(B37&lt;&gt;"",(_xlfn.XLOOKUP(C37,'Loan Out'!A:A,'Loan Out'!I:I)),"")</f>
        <v/>
      </c>
      <c r="F37" s="2"/>
    </row>
    <row r="38" spans="1:6">
      <c r="A38" t="str">
        <f t="shared" si="0"/>
        <v/>
      </c>
      <c r="C38" t="str">
        <f t="shared" si="1"/>
        <v/>
      </c>
      <c r="D38" t="str">
        <f>IF(C38&lt;&gt;"",(_xlfn.XLOOKUP(C38,'Loan Out'!A:A,'Loan Out'!B:B)),"")</f>
        <v/>
      </c>
      <c r="E38" t="str">
        <f>IF(B38&lt;&gt;"",(_xlfn.XLOOKUP(C38,'Loan Out'!A:A,'Loan Out'!I:I)),"")</f>
        <v/>
      </c>
      <c r="F38" s="2"/>
    </row>
    <row r="39" spans="1:6">
      <c r="A39" t="str">
        <f t="shared" si="0"/>
        <v/>
      </c>
      <c r="C39" t="str">
        <f t="shared" si="1"/>
        <v/>
      </c>
      <c r="D39" t="str">
        <f>IF(C39&lt;&gt;"",(_xlfn.XLOOKUP(C39,'Loan Out'!A:A,'Loan Out'!B:B)),"")</f>
        <v/>
      </c>
      <c r="E39" t="str">
        <f>IF(B39&lt;&gt;"",(_xlfn.XLOOKUP(C39,'Loan Out'!A:A,'Loan Out'!I:I)),"")</f>
        <v/>
      </c>
      <c r="F39" s="2"/>
    </row>
    <row r="40" spans="1:6">
      <c r="A40" t="str">
        <f t="shared" si="0"/>
        <v/>
      </c>
      <c r="C40" t="str">
        <f t="shared" si="1"/>
        <v/>
      </c>
      <c r="D40" t="str">
        <f>IF(C40&lt;&gt;"",(_xlfn.XLOOKUP(C40,'Loan Out'!A:A,'Loan Out'!B:B)),"")</f>
        <v/>
      </c>
      <c r="E40" t="str">
        <f>IF(B40&lt;&gt;"",(_xlfn.XLOOKUP(C40,'Loan Out'!A:A,'Loan Out'!I:I)),"")</f>
        <v/>
      </c>
      <c r="F40" s="2"/>
    </row>
    <row r="41" spans="1:6">
      <c r="A41" t="str">
        <f t="shared" si="0"/>
        <v/>
      </c>
      <c r="C41" t="str">
        <f t="shared" si="1"/>
        <v/>
      </c>
      <c r="D41" t="str">
        <f>IF(C41&lt;&gt;"",(_xlfn.XLOOKUP(C41,'Loan Out'!A:A,'Loan Out'!B:B)),"")</f>
        <v/>
      </c>
      <c r="E41" t="str">
        <f>IF(B41&lt;&gt;"",(_xlfn.XLOOKUP(C41,'Loan Out'!A:A,'Loan Out'!I:I)),"")</f>
        <v/>
      </c>
      <c r="F41" s="2"/>
    </row>
    <row r="42" spans="1:6">
      <c r="A42" t="str">
        <f t="shared" si="0"/>
        <v/>
      </c>
      <c r="C42" t="str">
        <f t="shared" si="1"/>
        <v/>
      </c>
      <c r="D42" t="str">
        <f>IF(C42&lt;&gt;"",(_xlfn.XLOOKUP(C42,'Loan Out'!A:A,'Loan Out'!B:B)),"")</f>
        <v/>
      </c>
      <c r="E42" t="str">
        <f>IF(B42&lt;&gt;"",(_xlfn.XLOOKUP(C42,'Loan Out'!A:A,'Loan Out'!I:I)),"")</f>
        <v/>
      </c>
      <c r="F42" s="2"/>
    </row>
    <row r="43" spans="1:6">
      <c r="A43" t="str">
        <f t="shared" si="0"/>
        <v/>
      </c>
      <c r="C43" t="str">
        <f t="shared" si="1"/>
        <v/>
      </c>
      <c r="D43" t="str">
        <f>IF(C43&lt;&gt;"",(_xlfn.XLOOKUP(C43,'Loan Out'!A:A,'Loan Out'!B:B)),"")</f>
        <v/>
      </c>
      <c r="E43" t="str">
        <f>IF(B43&lt;&gt;"",(_xlfn.XLOOKUP(C43,'Loan Out'!A:A,'Loan Out'!I:I)),"")</f>
        <v/>
      </c>
      <c r="F43" s="2"/>
    </row>
    <row r="44" spans="1:6">
      <c r="A44" t="str">
        <f t="shared" si="0"/>
        <v/>
      </c>
      <c r="C44" t="str">
        <f t="shared" si="1"/>
        <v/>
      </c>
      <c r="D44" t="str">
        <f>IF(C44&lt;&gt;"",(_xlfn.XLOOKUP(C44,'Loan Out'!A:A,'Loan Out'!B:B)),"")</f>
        <v/>
      </c>
      <c r="E44" t="str">
        <f>IF(B44&lt;&gt;"",(_xlfn.XLOOKUP(C44,'Loan Out'!A:A,'Loan Out'!I:I)),"")</f>
        <v/>
      </c>
      <c r="F44" s="2"/>
    </row>
    <row r="45" spans="1:6">
      <c r="A45" t="str">
        <f t="shared" si="0"/>
        <v/>
      </c>
      <c r="C45" t="str">
        <f t="shared" si="1"/>
        <v/>
      </c>
      <c r="D45" t="str">
        <f>IF(C45&lt;&gt;"",(_xlfn.XLOOKUP(C45,'Loan Out'!A:A,'Loan Out'!B:B)),"")</f>
        <v/>
      </c>
      <c r="E45" t="str">
        <f>IF(B45&lt;&gt;"",(_xlfn.XLOOKUP(C45,'Loan Out'!A:A,'Loan Out'!I:I)),"")</f>
        <v/>
      </c>
      <c r="F45" s="2"/>
    </row>
    <row r="46" spans="1:6">
      <c r="A46" t="str">
        <f t="shared" si="0"/>
        <v/>
      </c>
      <c r="C46" t="str">
        <f t="shared" si="1"/>
        <v/>
      </c>
      <c r="D46" t="str">
        <f>IF(C46&lt;&gt;"",(_xlfn.XLOOKUP(C46,'Loan Out'!A:A,'Loan Out'!B:B)),"")</f>
        <v/>
      </c>
      <c r="E46" t="str">
        <f>IF(B46&lt;&gt;"",(_xlfn.XLOOKUP(C46,'Loan Out'!A:A,'Loan Out'!I:I)),"")</f>
        <v/>
      </c>
      <c r="F46" s="2"/>
    </row>
    <row r="47" spans="1:6">
      <c r="A47" t="str">
        <f t="shared" si="0"/>
        <v/>
      </c>
      <c r="C47" t="str">
        <f t="shared" si="1"/>
        <v/>
      </c>
      <c r="D47" t="str">
        <f>IF(C47&lt;&gt;"",(_xlfn.XLOOKUP(C47,'Loan Out'!A:A,'Loan Out'!B:B)),"")</f>
        <v/>
      </c>
      <c r="E47" t="str">
        <f>IF(B47&lt;&gt;"",(_xlfn.XLOOKUP(C47,'Loan Out'!A:A,'Loan Out'!I:I)),"")</f>
        <v/>
      </c>
      <c r="F47" s="2"/>
    </row>
    <row r="48" spans="1:6">
      <c r="A48" t="str">
        <f t="shared" si="0"/>
        <v/>
      </c>
      <c r="C48" t="str">
        <f t="shared" si="1"/>
        <v/>
      </c>
      <c r="D48" t="str">
        <f>IF(C48&lt;&gt;"",(_xlfn.XLOOKUP(C48,'Loan Out'!A:A,'Loan Out'!B:B)),"")</f>
        <v/>
      </c>
      <c r="E48" t="str">
        <f>IF(B48&lt;&gt;"",(_xlfn.XLOOKUP(C48,'Loan Out'!A:A,'Loan Out'!I:I)),"")</f>
        <v/>
      </c>
      <c r="F48" s="2"/>
    </row>
    <row r="49" spans="1:6">
      <c r="A49" t="str">
        <f t="shared" si="0"/>
        <v/>
      </c>
      <c r="C49" t="str">
        <f t="shared" si="1"/>
        <v/>
      </c>
      <c r="D49" t="str">
        <f>IF(C49&lt;&gt;"",(_xlfn.XLOOKUP(C49,'Loan Out'!A:A,'Loan Out'!B:B)),"")</f>
        <v/>
      </c>
      <c r="E49" t="str">
        <f>IF(B49&lt;&gt;"",(_xlfn.XLOOKUP(C49,'Loan Out'!A:A,'Loan Out'!I:I)),"")</f>
        <v/>
      </c>
      <c r="F49" s="2"/>
    </row>
    <row r="50" spans="1:6">
      <c r="A50" t="str">
        <f t="shared" si="0"/>
        <v/>
      </c>
      <c r="C50" t="str">
        <f t="shared" si="1"/>
        <v/>
      </c>
      <c r="D50" t="str">
        <f>IF(C50&lt;&gt;"",(_xlfn.XLOOKUP(C50,'Loan Out'!A:A,'Loan Out'!B:B)),"")</f>
        <v/>
      </c>
      <c r="E50" t="str">
        <f>IF(B50&lt;&gt;"",(_xlfn.XLOOKUP(C50,'Loan Out'!A:A,'Loan Out'!I:I)),"")</f>
        <v/>
      </c>
      <c r="F50" s="2"/>
    </row>
    <row r="51" spans="1:6">
      <c r="A51" t="str">
        <f t="shared" si="0"/>
        <v/>
      </c>
      <c r="C51" t="str">
        <f t="shared" si="1"/>
        <v/>
      </c>
      <c r="D51" t="str">
        <f>IF(C51&lt;&gt;"",(_xlfn.XLOOKUP(C51,'Loan Out'!A:A,'Loan Out'!B:B)),"")</f>
        <v/>
      </c>
      <c r="E51" t="str">
        <f>IF(B51&lt;&gt;"",(_xlfn.XLOOKUP(C51,'Loan Out'!A:A,'Loan Out'!I:I)),"")</f>
        <v/>
      </c>
      <c r="F51" s="2"/>
    </row>
    <row r="52" spans="1:6">
      <c r="A52" t="str">
        <f t="shared" si="0"/>
        <v/>
      </c>
      <c r="C52" t="str">
        <f t="shared" si="1"/>
        <v/>
      </c>
      <c r="D52" t="str">
        <f>IF(C52&lt;&gt;"",(_xlfn.XLOOKUP(C52,'Loan Out'!A:A,'Loan Out'!B:B)),"")</f>
        <v/>
      </c>
      <c r="E52" t="str">
        <f>IF(B52&lt;&gt;"",(_xlfn.XLOOKUP(C52,'Loan Out'!A:A,'Loan Out'!I:I)),"")</f>
        <v/>
      </c>
      <c r="F52" s="2"/>
    </row>
    <row r="53" spans="1:6">
      <c r="A53" t="str">
        <f t="shared" si="0"/>
        <v/>
      </c>
      <c r="C53" t="str">
        <f t="shared" si="1"/>
        <v/>
      </c>
      <c r="D53" t="str">
        <f>IF(C53&lt;&gt;"",(_xlfn.XLOOKUP(C53,'Loan Out'!A:A,'Loan Out'!B:B)),"")</f>
        <v/>
      </c>
      <c r="E53" t="str">
        <f>IF(B53&lt;&gt;"",(_xlfn.XLOOKUP(C53,'Loan Out'!A:A,'Loan Out'!I:I)),"")</f>
        <v/>
      </c>
      <c r="F53" s="2"/>
    </row>
    <row r="54" spans="1:6">
      <c r="A54" t="str">
        <f t="shared" si="0"/>
        <v/>
      </c>
      <c r="C54" t="str">
        <f t="shared" si="1"/>
        <v/>
      </c>
      <c r="D54" t="str">
        <f>IF(C54&lt;&gt;"",(_xlfn.XLOOKUP(C54,'Loan Out'!A:A,'Loan Out'!B:B)),"")</f>
        <v/>
      </c>
      <c r="E54" t="str">
        <f>IF(B54&lt;&gt;"",(_xlfn.XLOOKUP(C54,'Loan Out'!A:A,'Loan Out'!I:I)),"")</f>
        <v/>
      </c>
      <c r="F54" s="2"/>
    </row>
    <row r="55" spans="1:6">
      <c r="A55" t="str">
        <f t="shared" si="0"/>
        <v/>
      </c>
      <c r="C55" t="str">
        <f t="shared" si="1"/>
        <v/>
      </c>
      <c r="D55" t="str">
        <f>IF(C55&lt;&gt;"",(_xlfn.XLOOKUP(C55,'Loan Out'!A:A,'Loan Out'!B:B)),"")</f>
        <v/>
      </c>
      <c r="E55" t="str">
        <f>IF(B55&lt;&gt;"",(_xlfn.XLOOKUP(C55,'Loan Out'!A:A,'Loan Out'!I:I)),"")</f>
        <v/>
      </c>
      <c r="F55" s="2"/>
    </row>
    <row r="56" spans="1:6">
      <c r="A56" t="str">
        <f t="shared" si="0"/>
        <v/>
      </c>
      <c r="C56" t="str">
        <f t="shared" si="1"/>
        <v/>
      </c>
      <c r="D56" t="str">
        <f>IF(C56&lt;&gt;"",(_xlfn.XLOOKUP(C56,'Loan Out'!A:A,'Loan Out'!B:B)),"")</f>
        <v/>
      </c>
      <c r="E56" t="str">
        <f>IF(B56&lt;&gt;"",(_xlfn.XLOOKUP(C56,'Loan Out'!A:A,'Loan Out'!I:I)),"")</f>
        <v/>
      </c>
      <c r="F56" s="2"/>
    </row>
    <row r="57" spans="1:6">
      <c r="A57" t="str">
        <f t="shared" si="0"/>
        <v/>
      </c>
      <c r="C57" t="str">
        <f t="shared" si="1"/>
        <v/>
      </c>
      <c r="D57" t="str">
        <f>IF(C57&lt;&gt;"",(_xlfn.XLOOKUP(C57,'Loan Out'!A:A,'Loan Out'!B:B)),"")</f>
        <v/>
      </c>
      <c r="E57" t="str">
        <f>IF(B57&lt;&gt;"",(_xlfn.XLOOKUP(C57,'Loan Out'!A:A,'Loan Out'!I:I)),"")</f>
        <v/>
      </c>
      <c r="F57" s="2"/>
    </row>
    <row r="58" spans="1:6">
      <c r="A58" t="str">
        <f t="shared" si="0"/>
        <v/>
      </c>
      <c r="C58" t="str">
        <f t="shared" si="1"/>
        <v/>
      </c>
      <c r="D58" t="str">
        <f>IF(C58&lt;&gt;"",(_xlfn.XLOOKUP(C58,'Loan Out'!A:A,'Loan Out'!B:B)),"")</f>
        <v/>
      </c>
      <c r="E58" t="str">
        <f>IF(B58&lt;&gt;"",(_xlfn.XLOOKUP(C58,'Loan Out'!A:A,'Loan Out'!I:I)),"")</f>
        <v/>
      </c>
      <c r="F58" s="2"/>
    </row>
    <row r="59" spans="1:6">
      <c r="A59" t="str">
        <f t="shared" si="0"/>
        <v/>
      </c>
      <c r="C59" t="str">
        <f t="shared" si="1"/>
        <v/>
      </c>
      <c r="D59" t="str">
        <f>IF(C59&lt;&gt;"",(_xlfn.XLOOKUP(C59,'Loan Out'!A:A,'Loan Out'!B:B)),"")</f>
        <v/>
      </c>
      <c r="E59" t="str">
        <f>IF(B59&lt;&gt;"",(_xlfn.XLOOKUP(C59,'Loan Out'!A:A,'Loan Out'!I:I)),"")</f>
        <v/>
      </c>
      <c r="F59" s="2"/>
    </row>
    <row r="60" spans="1:6">
      <c r="A60" t="str">
        <f t="shared" si="0"/>
        <v/>
      </c>
      <c r="C60" t="str">
        <f t="shared" si="1"/>
        <v/>
      </c>
      <c r="D60" t="str">
        <f>IF(C60&lt;&gt;"",(_xlfn.XLOOKUP(C60,'Loan Out'!A:A,'Loan Out'!B:B)),"")</f>
        <v/>
      </c>
      <c r="E60" t="str">
        <f>IF(B60&lt;&gt;"",(_xlfn.XLOOKUP(C60,'Loan Out'!A:A,'Loan Out'!I:I)),"")</f>
        <v/>
      </c>
      <c r="F60" s="2"/>
    </row>
    <row r="61" spans="1:6">
      <c r="A61" t="str">
        <f t="shared" si="0"/>
        <v/>
      </c>
      <c r="C61" t="str">
        <f t="shared" si="1"/>
        <v/>
      </c>
      <c r="D61" t="str">
        <f>IF(C61&lt;&gt;"",(_xlfn.XLOOKUP(C61,'Loan Out'!A:A,'Loan Out'!B:B)),"")</f>
        <v/>
      </c>
      <c r="E61" t="str">
        <f>IF(B61&lt;&gt;"",(_xlfn.XLOOKUP(C61,'Loan Out'!A:A,'Loan Out'!I:I)),"")</f>
        <v/>
      </c>
      <c r="F61" s="2"/>
    </row>
    <row r="62" spans="1:6">
      <c r="A62" t="str">
        <f t="shared" si="0"/>
        <v/>
      </c>
      <c r="C62" t="str">
        <f t="shared" si="1"/>
        <v/>
      </c>
      <c r="D62" t="str">
        <f>IF(C62&lt;&gt;"",(_xlfn.XLOOKUP(C62,'Loan Out'!A:A,'Loan Out'!B:B)),"")</f>
        <v/>
      </c>
      <c r="E62" t="str">
        <f>IF(B62&lt;&gt;"",(_xlfn.XLOOKUP(C62,'Loan Out'!A:A,'Loan Out'!I:I)),"")</f>
        <v/>
      </c>
      <c r="F62" s="2"/>
    </row>
    <row r="63" spans="1:6">
      <c r="A63" t="str">
        <f t="shared" si="0"/>
        <v/>
      </c>
      <c r="C63" t="str">
        <f t="shared" si="1"/>
        <v/>
      </c>
      <c r="D63" t="str">
        <f>IF(C63&lt;&gt;"",(_xlfn.XLOOKUP(C63,'Loan Out'!A:A,'Loan Out'!B:B)),"")</f>
        <v/>
      </c>
      <c r="E63" t="str">
        <f>IF(B63&lt;&gt;"",(_xlfn.XLOOKUP(C63,'Loan Out'!A:A,'Loan Out'!I:I)),"")</f>
        <v/>
      </c>
      <c r="F63" s="2"/>
    </row>
    <row r="64" spans="1:6">
      <c r="A64" t="str">
        <f t="shared" si="0"/>
        <v/>
      </c>
      <c r="C64" t="str">
        <f t="shared" si="1"/>
        <v/>
      </c>
      <c r="D64" t="str">
        <f>IF(C64&lt;&gt;"",(_xlfn.XLOOKUP(C64,'Loan Out'!A:A,'Loan Out'!B:B)),"")</f>
        <v/>
      </c>
      <c r="E64" t="str">
        <f>IF(B64&lt;&gt;"",(_xlfn.XLOOKUP(C64,'Loan Out'!A:A,'Loan Out'!I:I)),"")</f>
        <v/>
      </c>
      <c r="F64" s="2"/>
    </row>
    <row r="65" spans="1:6">
      <c r="A65" t="str">
        <f t="shared" si="0"/>
        <v/>
      </c>
      <c r="C65" t="str">
        <f t="shared" si="1"/>
        <v/>
      </c>
      <c r="D65" t="str">
        <f>IF(C65&lt;&gt;"",(_xlfn.XLOOKUP(C65,'Loan Out'!A:A,'Loan Out'!B:B)),"")</f>
        <v/>
      </c>
      <c r="E65" t="str">
        <f>IF(B65&lt;&gt;"",(_xlfn.XLOOKUP(C65,'Loan Out'!A:A,'Loan Out'!I:I)),"")</f>
        <v/>
      </c>
      <c r="F65" s="2"/>
    </row>
    <row r="66" spans="1:6">
      <c r="A66" t="str">
        <f t="shared" si="0"/>
        <v/>
      </c>
      <c r="C66" t="str">
        <f t="shared" si="1"/>
        <v/>
      </c>
      <c r="D66" t="str">
        <f>IF(C66&lt;&gt;"",(_xlfn.XLOOKUP(C66,'Loan Out'!A:A,'Loan Out'!B:B)),"")</f>
        <v/>
      </c>
      <c r="E66" t="str">
        <f>IF(B66&lt;&gt;"",(_xlfn.XLOOKUP(C66,'Loan Out'!A:A,'Loan Out'!I:I)),"")</f>
        <v/>
      </c>
      <c r="F66" s="2"/>
    </row>
    <row r="67" spans="1:6">
      <c r="A67" t="str">
        <f t="shared" ref="A67:A130" si="2">IF(B67&lt;&gt;"","P"&amp;ROW()-1,"")</f>
        <v/>
      </c>
      <c r="C67" t="str">
        <f t="shared" ref="C67:C130" si="3">IF(B67&lt;&gt;"",(LEFT(B67,FIND(" |",B67)-1)),"")</f>
        <v/>
      </c>
      <c r="D67" t="str">
        <f>IF(C67&lt;&gt;"",(_xlfn.XLOOKUP(C67,'Loan Out'!A:A,'Loan Out'!B:B)),"")</f>
        <v/>
      </c>
      <c r="E67" t="str">
        <f>IF(B67&lt;&gt;"",(_xlfn.XLOOKUP(C67,'Loan Out'!A:A,'Loan Out'!I:I)),"")</f>
        <v/>
      </c>
      <c r="F67" s="2"/>
    </row>
    <row r="68" spans="1:6">
      <c r="A68" t="str">
        <f t="shared" si="2"/>
        <v/>
      </c>
      <c r="C68" t="str">
        <f t="shared" si="3"/>
        <v/>
      </c>
      <c r="D68" t="str">
        <f>IF(C68&lt;&gt;"",(_xlfn.XLOOKUP(C68,'Loan Out'!A:A,'Loan Out'!B:B)),"")</f>
        <v/>
      </c>
      <c r="E68" t="str">
        <f>IF(B68&lt;&gt;"",(_xlfn.XLOOKUP(C68,'Loan Out'!A:A,'Loan Out'!I:I)),"")</f>
        <v/>
      </c>
      <c r="F68" s="2"/>
    </row>
    <row r="69" spans="1:6">
      <c r="A69" t="str">
        <f t="shared" si="2"/>
        <v/>
      </c>
      <c r="C69" t="str">
        <f t="shared" si="3"/>
        <v/>
      </c>
      <c r="D69" t="str">
        <f>IF(C69&lt;&gt;"",(_xlfn.XLOOKUP(C69,'Loan Out'!A:A,'Loan Out'!B:B)),"")</f>
        <v/>
      </c>
      <c r="E69" t="str">
        <f>IF(B69&lt;&gt;"",(_xlfn.XLOOKUP(C69,'Loan Out'!A:A,'Loan Out'!I:I)),"")</f>
        <v/>
      </c>
      <c r="F69" s="2"/>
    </row>
    <row r="70" spans="1:6">
      <c r="A70" t="str">
        <f t="shared" si="2"/>
        <v/>
      </c>
      <c r="C70" t="str">
        <f t="shared" si="3"/>
        <v/>
      </c>
      <c r="D70" t="str">
        <f>IF(C70&lt;&gt;"",(_xlfn.XLOOKUP(C70,'Loan Out'!A:A,'Loan Out'!B:B)),"")</f>
        <v/>
      </c>
      <c r="E70" t="str">
        <f>IF(B70&lt;&gt;"",(_xlfn.XLOOKUP(C70,'Loan Out'!A:A,'Loan Out'!I:I)),"")</f>
        <v/>
      </c>
      <c r="F70" s="2"/>
    </row>
    <row r="71" spans="1:6">
      <c r="A71" t="str">
        <f t="shared" si="2"/>
        <v/>
      </c>
      <c r="C71" t="str">
        <f t="shared" si="3"/>
        <v/>
      </c>
      <c r="D71" t="str">
        <f>IF(C71&lt;&gt;"",(_xlfn.XLOOKUP(C71,'Loan Out'!A:A,'Loan Out'!B:B)),"")</f>
        <v/>
      </c>
      <c r="E71" t="str">
        <f>IF(B71&lt;&gt;"",(_xlfn.XLOOKUP(C71,'Loan Out'!A:A,'Loan Out'!I:I)),"")</f>
        <v/>
      </c>
      <c r="F71" s="2"/>
    </row>
    <row r="72" spans="1:6">
      <c r="A72" t="str">
        <f t="shared" si="2"/>
        <v/>
      </c>
      <c r="C72" t="str">
        <f t="shared" si="3"/>
        <v/>
      </c>
      <c r="D72" t="str">
        <f>IF(C72&lt;&gt;"",(_xlfn.XLOOKUP(C72,'Loan Out'!A:A,'Loan Out'!B:B)),"")</f>
        <v/>
      </c>
      <c r="E72" t="str">
        <f>IF(B72&lt;&gt;"",(_xlfn.XLOOKUP(C72,'Loan Out'!A:A,'Loan Out'!I:I)),"")</f>
        <v/>
      </c>
      <c r="F72" s="2"/>
    </row>
    <row r="73" spans="1:6">
      <c r="A73" t="str">
        <f t="shared" si="2"/>
        <v/>
      </c>
      <c r="C73" t="str">
        <f t="shared" si="3"/>
        <v/>
      </c>
      <c r="D73" t="str">
        <f>IF(C73&lt;&gt;"",(_xlfn.XLOOKUP(C73,'Loan Out'!A:A,'Loan Out'!B:B)),"")</f>
        <v/>
      </c>
      <c r="E73" t="str">
        <f>IF(B73&lt;&gt;"",(_xlfn.XLOOKUP(C73,'Loan Out'!A:A,'Loan Out'!I:I)),"")</f>
        <v/>
      </c>
      <c r="F73" s="2"/>
    </row>
    <row r="74" spans="1:6">
      <c r="A74" t="str">
        <f t="shared" si="2"/>
        <v/>
      </c>
      <c r="C74" t="str">
        <f t="shared" si="3"/>
        <v/>
      </c>
      <c r="D74" t="str">
        <f>IF(C74&lt;&gt;"",(_xlfn.XLOOKUP(C74,'Loan Out'!A:A,'Loan Out'!B:B)),"")</f>
        <v/>
      </c>
      <c r="E74" t="str">
        <f>IF(B74&lt;&gt;"",(_xlfn.XLOOKUP(C74,'Loan Out'!A:A,'Loan Out'!I:I)),"")</f>
        <v/>
      </c>
      <c r="F74" s="2"/>
    </row>
    <row r="75" spans="1:6">
      <c r="A75" t="str">
        <f t="shared" si="2"/>
        <v/>
      </c>
      <c r="C75" t="str">
        <f t="shared" si="3"/>
        <v/>
      </c>
      <c r="D75" t="str">
        <f>IF(C75&lt;&gt;"",(_xlfn.XLOOKUP(C75,'Loan Out'!A:A,'Loan Out'!B:B)),"")</f>
        <v/>
      </c>
      <c r="E75" t="str">
        <f>IF(B75&lt;&gt;"",(_xlfn.XLOOKUP(C75,'Loan Out'!A:A,'Loan Out'!I:I)),"")</f>
        <v/>
      </c>
      <c r="F75" s="2"/>
    </row>
    <row r="76" spans="1:6">
      <c r="A76" t="str">
        <f t="shared" si="2"/>
        <v/>
      </c>
      <c r="C76" t="str">
        <f t="shared" si="3"/>
        <v/>
      </c>
      <c r="D76" t="str">
        <f>IF(C76&lt;&gt;"",(_xlfn.XLOOKUP(C76,'Loan Out'!A:A,'Loan Out'!B:B)),"")</f>
        <v/>
      </c>
      <c r="E76" t="str">
        <f>IF(B76&lt;&gt;"",(_xlfn.XLOOKUP(C76,'Loan Out'!A:A,'Loan Out'!I:I)),"")</f>
        <v/>
      </c>
      <c r="F76" s="2"/>
    </row>
    <row r="77" spans="1:6">
      <c r="A77" t="str">
        <f t="shared" si="2"/>
        <v/>
      </c>
      <c r="C77" t="str">
        <f t="shared" si="3"/>
        <v/>
      </c>
      <c r="D77" t="str">
        <f>IF(C77&lt;&gt;"",(_xlfn.XLOOKUP(C77,'Loan Out'!A:A,'Loan Out'!B:B)),"")</f>
        <v/>
      </c>
      <c r="E77" t="str">
        <f>IF(B77&lt;&gt;"",(_xlfn.XLOOKUP(C77,'Loan Out'!A:A,'Loan Out'!I:I)),"")</f>
        <v/>
      </c>
      <c r="F77" s="2"/>
    </row>
    <row r="78" spans="1:6">
      <c r="A78" t="str">
        <f t="shared" si="2"/>
        <v/>
      </c>
      <c r="C78" t="str">
        <f t="shared" si="3"/>
        <v/>
      </c>
      <c r="D78" t="str">
        <f>IF(C78&lt;&gt;"",(_xlfn.XLOOKUP(C78,'Loan Out'!A:A,'Loan Out'!B:B)),"")</f>
        <v/>
      </c>
      <c r="E78" t="str">
        <f>IF(B78&lt;&gt;"",(_xlfn.XLOOKUP(C78,'Loan Out'!A:A,'Loan Out'!I:I)),"")</f>
        <v/>
      </c>
      <c r="F78" s="2"/>
    </row>
    <row r="79" spans="1:6">
      <c r="A79" t="str">
        <f t="shared" si="2"/>
        <v/>
      </c>
      <c r="C79" t="str">
        <f t="shared" si="3"/>
        <v/>
      </c>
      <c r="D79" t="str">
        <f>IF(C79&lt;&gt;"",(_xlfn.XLOOKUP(C79,'Loan Out'!A:A,'Loan Out'!B:B)),"")</f>
        <v/>
      </c>
      <c r="E79" t="str">
        <f>IF(B79&lt;&gt;"",(_xlfn.XLOOKUP(C79,'Loan Out'!A:A,'Loan Out'!I:I)),"")</f>
        <v/>
      </c>
      <c r="F79" s="2"/>
    </row>
    <row r="80" spans="1:6">
      <c r="A80" t="str">
        <f t="shared" si="2"/>
        <v/>
      </c>
      <c r="C80" t="str">
        <f t="shared" si="3"/>
        <v/>
      </c>
      <c r="D80" t="str">
        <f>IF(C80&lt;&gt;"",(_xlfn.XLOOKUP(C80,'Loan Out'!A:A,'Loan Out'!B:B)),"")</f>
        <v/>
      </c>
      <c r="E80" t="str">
        <f>IF(B80&lt;&gt;"",(_xlfn.XLOOKUP(C80,'Loan Out'!A:A,'Loan Out'!I:I)),"")</f>
        <v/>
      </c>
      <c r="F80" s="2"/>
    </row>
    <row r="81" spans="1:6">
      <c r="A81" t="str">
        <f t="shared" si="2"/>
        <v/>
      </c>
      <c r="C81" t="str">
        <f t="shared" si="3"/>
        <v/>
      </c>
      <c r="D81" t="str">
        <f>IF(C81&lt;&gt;"",(_xlfn.XLOOKUP(C81,'Loan Out'!A:A,'Loan Out'!B:B)),"")</f>
        <v/>
      </c>
      <c r="E81" t="str">
        <f>IF(B81&lt;&gt;"",(_xlfn.XLOOKUP(C81,'Loan Out'!A:A,'Loan Out'!I:I)),"")</f>
        <v/>
      </c>
      <c r="F81" s="2"/>
    </row>
    <row r="82" spans="1:6">
      <c r="A82" t="str">
        <f t="shared" si="2"/>
        <v/>
      </c>
      <c r="C82" t="str">
        <f t="shared" si="3"/>
        <v/>
      </c>
      <c r="D82" t="str">
        <f>IF(C82&lt;&gt;"",(_xlfn.XLOOKUP(C82,'Loan Out'!A:A,'Loan Out'!B:B)),"")</f>
        <v/>
      </c>
      <c r="E82" t="str">
        <f>IF(B82&lt;&gt;"",(_xlfn.XLOOKUP(C82,'Loan Out'!A:A,'Loan Out'!I:I)),"")</f>
        <v/>
      </c>
      <c r="F82" s="2"/>
    </row>
    <row r="83" spans="1:6">
      <c r="A83" t="str">
        <f t="shared" si="2"/>
        <v/>
      </c>
      <c r="C83" t="str">
        <f t="shared" si="3"/>
        <v/>
      </c>
      <c r="D83" t="str">
        <f>IF(C83&lt;&gt;"",(_xlfn.XLOOKUP(C83,'Loan Out'!A:A,'Loan Out'!B:B)),"")</f>
        <v/>
      </c>
      <c r="E83" t="str">
        <f>IF(B83&lt;&gt;"",(_xlfn.XLOOKUP(C83,'Loan Out'!A:A,'Loan Out'!I:I)),"")</f>
        <v/>
      </c>
      <c r="F83" s="2"/>
    </row>
    <row r="84" spans="1:6">
      <c r="A84" t="str">
        <f t="shared" si="2"/>
        <v/>
      </c>
      <c r="C84" t="str">
        <f t="shared" si="3"/>
        <v/>
      </c>
      <c r="D84" t="str">
        <f>IF(C84&lt;&gt;"",(_xlfn.XLOOKUP(C84,'Loan Out'!A:A,'Loan Out'!B:B)),"")</f>
        <v/>
      </c>
      <c r="E84" t="str">
        <f>IF(B84&lt;&gt;"",(_xlfn.XLOOKUP(C84,'Loan Out'!A:A,'Loan Out'!I:I)),"")</f>
        <v/>
      </c>
      <c r="F84" s="2"/>
    </row>
    <row r="85" spans="1:6">
      <c r="A85" t="str">
        <f t="shared" si="2"/>
        <v/>
      </c>
      <c r="C85" t="str">
        <f t="shared" si="3"/>
        <v/>
      </c>
      <c r="D85" t="str">
        <f>IF(C85&lt;&gt;"",(_xlfn.XLOOKUP(C85,'Loan Out'!A:A,'Loan Out'!B:B)),"")</f>
        <v/>
      </c>
      <c r="E85" t="str">
        <f>IF(B85&lt;&gt;"",(_xlfn.XLOOKUP(C85,'Loan Out'!A:A,'Loan Out'!I:I)),"")</f>
        <v/>
      </c>
      <c r="F85" s="2"/>
    </row>
    <row r="86" spans="1:6">
      <c r="A86" t="str">
        <f t="shared" si="2"/>
        <v/>
      </c>
      <c r="C86" t="str">
        <f t="shared" si="3"/>
        <v/>
      </c>
      <c r="D86" t="str">
        <f>IF(C86&lt;&gt;"",(_xlfn.XLOOKUP(C86,'Loan Out'!A:A,'Loan Out'!B:B)),"")</f>
        <v/>
      </c>
      <c r="E86" t="str">
        <f>IF(B86&lt;&gt;"",(_xlfn.XLOOKUP(C86,'Loan Out'!A:A,'Loan Out'!I:I)),"")</f>
        <v/>
      </c>
      <c r="F86" s="2"/>
    </row>
    <row r="87" spans="1:6">
      <c r="A87" t="str">
        <f t="shared" si="2"/>
        <v/>
      </c>
      <c r="C87" t="str">
        <f t="shared" si="3"/>
        <v/>
      </c>
      <c r="D87" t="str">
        <f>IF(C87&lt;&gt;"",(_xlfn.XLOOKUP(C87,'Loan Out'!A:A,'Loan Out'!B:B)),"")</f>
        <v/>
      </c>
      <c r="E87" t="str">
        <f>IF(B87&lt;&gt;"",(_xlfn.XLOOKUP(C87,'Loan Out'!A:A,'Loan Out'!I:I)),"")</f>
        <v/>
      </c>
      <c r="F87" s="2"/>
    </row>
    <row r="88" spans="1:6">
      <c r="A88" t="str">
        <f t="shared" si="2"/>
        <v/>
      </c>
      <c r="C88" t="str">
        <f t="shared" si="3"/>
        <v/>
      </c>
      <c r="D88" t="str">
        <f>IF(C88&lt;&gt;"",(_xlfn.XLOOKUP(C88,'Loan Out'!A:A,'Loan Out'!B:B)),"")</f>
        <v/>
      </c>
      <c r="E88" t="str">
        <f>IF(B88&lt;&gt;"",(_xlfn.XLOOKUP(C88,'Loan Out'!A:A,'Loan Out'!I:I)),"")</f>
        <v/>
      </c>
      <c r="F88" s="2"/>
    </row>
    <row r="89" spans="1:6">
      <c r="A89" t="str">
        <f t="shared" si="2"/>
        <v/>
      </c>
      <c r="C89" t="str">
        <f t="shared" si="3"/>
        <v/>
      </c>
      <c r="D89" t="str">
        <f>IF(C89&lt;&gt;"",(_xlfn.XLOOKUP(C89,'Loan Out'!A:A,'Loan Out'!B:B)),"")</f>
        <v/>
      </c>
      <c r="E89" t="str">
        <f>IF(B89&lt;&gt;"",(_xlfn.XLOOKUP(C89,'Loan Out'!A:A,'Loan Out'!I:I)),"")</f>
        <v/>
      </c>
      <c r="F89" s="2"/>
    </row>
    <row r="90" spans="1:6">
      <c r="A90" t="str">
        <f t="shared" si="2"/>
        <v/>
      </c>
      <c r="C90" t="str">
        <f t="shared" si="3"/>
        <v/>
      </c>
      <c r="D90" t="str">
        <f>IF(C90&lt;&gt;"",(_xlfn.XLOOKUP(C90,'Loan Out'!A:A,'Loan Out'!B:B)),"")</f>
        <v/>
      </c>
      <c r="E90" t="str">
        <f>IF(B90&lt;&gt;"",(_xlfn.XLOOKUP(C90,'Loan Out'!A:A,'Loan Out'!I:I)),"")</f>
        <v/>
      </c>
      <c r="F90" s="2"/>
    </row>
    <row r="91" spans="1:6">
      <c r="A91" t="str">
        <f t="shared" si="2"/>
        <v/>
      </c>
      <c r="C91" t="str">
        <f t="shared" si="3"/>
        <v/>
      </c>
      <c r="D91" t="str">
        <f>IF(C91&lt;&gt;"",(_xlfn.XLOOKUP(C91,'Loan Out'!A:A,'Loan Out'!B:B)),"")</f>
        <v/>
      </c>
      <c r="E91" t="str">
        <f>IF(B91&lt;&gt;"",(_xlfn.XLOOKUP(C91,'Loan Out'!A:A,'Loan Out'!I:I)),"")</f>
        <v/>
      </c>
      <c r="F91" s="2"/>
    </row>
    <row r="92" spans="1:6">
      <c r="A92" t="str">
        <f t="shared" si="2"/>
        <v/>
      </c>
      <c r="C92" t="str">
        <f t="shared" si="3"/>
        <v/>
      </c>
      <c r="D92" t="str">
        <f>IF(C92&lt;&gt;"",(_xlfn.XLOOKUP(C92,'Loan Out'!A:A,'Loan Out'!B:B)),"")</f>
        <v/>
      </c>
      <c r="E92" t="str">
        <f>IF(B92&lt;&gt;"",(_xlfn.XLOOKUP(C92,'Loan Out'!A:A,'Loan Out'!I:I)),"")</f>
        <v/>
      </c>
      <c r="F92" s="2"/>
    </row>
    <row r="93" spans="1:6">
      <c r="A93" t="str">
        <f t="shared" si="2"/>
        <v/>
      </c>
      <c r="C93" t="str">
        <f t="shared" si="3"/>
        <v/>
      </c>
      <c r="D93" t="str">
        <f>IF(C93&lt;&gt;"",(_xlfn.XLOOKUP(C93,'Loan Out'!A:A,'Loan Out'!B:B)),"")</f>
        <v/>
      </c>
      <c r="E93" t="str">
        <f>IF(B93&lt;&gt;"",(_xlfn.XLOOKUP(C93,'Loan Out'!A:A,'Loan Out'!I:I)),"")</f>
        <v/>
      </c>
      <c r="F93" s="2"/>
    </row>
    <row r="94" spans="1:6">
      <c r="A94" t="str">
        <f t="shared" si="2"/>
        <v/>
      </c>
      <c r="C94" t="str">
        <f t="shared" si="3"/>
        <v/>
      </c>
      <c r="D94" t="str">
        <f>IF(C94&lt;&gt;"",(_xlfn.XLOOKUP(C94,'Loan Out'!A:A,'Loan Out'!B:B)),"")</f>
        <v/>
      </c>
      <c r="E94" t="str">
        <f>IF(B94&lt;&gt;"",(_xlfn.XLOOKUP(C94,'Loan Out'!A:A,'Loan Out'!I:I)),"")</f>
        <v/>
      </c>
      <c r="F94" s="2"/>
    </row>
    <row r="95" spans="1:6">
      <c r="A95" t="str">
        <f t="shared" si="2"/>
        <v/>
      </c>
      <c r="C95" t="str">
        <f t="shared" si="3"/>
        <v/>
      </c>
      <c r="D95" t="str">
        <f>IF(C95&lt;&gt;"",(_xlfn.XLOOKUP(C95,'Loan Out'!A:A,'Loan Out'!B:B)),"")</f>
        <v/>
      </c>
      <c r="E95" t="str">
        <f>IF(B95&lt;&gt;"",(_xlfn.XLOOKUP(C95,'Loan Out'!A:A,'Loan Out'!I:I)),"")</f>
        <v/>
      </c>
      <c r="F95" s="2"/>
    </row>
    <row r="96" spans="1:6">
      <c r="A96" t="str">
        <f t="shared" si="2"/>
        <v/>
      </c>
      <c r="C96" t="str">
        <f t="shared" si="3"/>
        <v/>
      </c>
      <c r="D96" t="str">
        <f>IF(C96&lt;&gt;"",(_xlfn.XLOOKUP(C96,'Loan Out'!A:A,'Loan Out'!B:B)),"")</f>
        <v/>
      </c>
      <c r="E96" t="str">
        <f>IF(B96&lt;&gt;"",(_xlfn.XLOOKUP(C96,'Loan Out'!A:A,'Loan Out'!I:I)),"")</f>
        <v/>
      </c>
      <c r="F96" s="2"/>
    </row>
    <row r="97" spans="1:6">
      <c r="A97" t="str">
        <f t="shared" si="2"/>
        <v/>
      </c>
      <c r="C97" t="str">
        <f t="shared" si="3"/>
        <v/>
      </c>
      <c r="D97" t="str">
        <f>IF(C97&lt;&gt;"",(_xlfn.XLOOKUP(C97,'Loan Out'!A:A,'Loan Out'!B:B)),"")</f>
        <v/>
      </c>
      <c r="E97" t="str">
        <f>IF(B97&lt;&gt;"",(_xlfn.XLOOKUP(C97,'Loan Out'!A:A,'Loan Out'!I:I)),"")</f>
        <v/>
      </c>
      <c r="F97" s="2"/>
    </row>
    <row r="98" spans="1:6">
      <c r="A98" t="str">
        <f t="shared" si="2"/>
        <v/>
      </c>
      <c r="C98" t="str">
        <f t="shared" si="3"/>
        <v/>
      </c>
      <c r="D98" t="str">
        <f>IF(C98&lt;&gt;"",(_xlfn.XLOOKUP(C98,'Loan Out'!A:A,'Loan Out'!B:B)),"")</f>
        <v/>
      </c>
      <c r="E98" t="str">
        <f>IF(B98&lt;&gt;"",(_xlfn.XLOOKUP(C98,'Loan Out'!A:A,'Loan Out'!I:I)),"")</f>
        <v/>
      </c>
      <c r="F98" s="2"/>
    </row>
    <row r="99" spans="1:6">
      <c r="A99" t="str">
        <f t="shared" si="2"/>
        <v/>
      </c>
      <c r="C99" t="str">
        <f t="shared" si="3"/>
        <v/>
      </c>
      <c r="D99" t="str">
        <f>IF(C99&lt;&gt;"",(_xlfn.XLOOKUP(C99,'Loan Out'!A:A,'Loan Out'!B:B)),"")</f>
        <v/>
      </c>
      <c r="E99" t="str">
        <f>IF(B99&lt;&gt;"",(_xlfn.XLOOKUP(C99,'Loan Out'!A:A,'Loan Out'!I:I)),"")</f>
        <v/>
      </c>
      <c r="F99" s="2"/>
    </row>
    <row r="100" spans="1:6">
      <c r="A100" t="str">
        <f t="shared" si="2"/>
        <v/>
      </c>
      <c r="C100" t="str">
        <f t="shared" si="3"/>
        <v/>
      </c>
      <c r="D100" t="str">
        <f>IF(C100&lt;&gt;"",(_xlfn.XLOOKUP(C100,'Loan Out'!A:A,'Loan Out'!B:B)),"")</f>
        <v/>
      </c>
      <c r="E100" t="str">
        <f>IF(B100&lt;&gt;"",(_xlfn.XLOOKUP(C100,'Loan Out'!A:A,'Loan Out'!I:I)),"")</f>
        <v/>
      </c>
      <c r="F100" s="2"/>
    </row>
    <row r="101" spans="1:6">
      <c r="A101" t="str">
        <f t="shared" si="2"/>
        <v/>
      </c>
      <c r="C101" t="str">
        <f t="shared" si="3"/>
        <v/>
      </c>
      <c r="D101" t="str">
        <f>IF(C101&lt;&gt;"",(_xlfn.XLOOKUP(C101,'Loan Out'!A:A,'Loan Out'!B:B)),"")</f>
        <v/>
      </c>
      <c r="E101" t="str">
        <f>IF(B101&lt;&gt;"",(_xlfn.XLOOKUP(C101,'Loan Out'!A:A,'Loan Out'!I:I)),"")</f>
        <v/>
      </c>
      <c r="F101" s="2"/>
    </row>
    <row r="102" spans="1:6">
      <c r="A102" t="str">
        <f t="shared" si="2"/>
        <v/>
      </c>
      <c r="C102" t="str">
        <f t="shared" si="3"/>
        <v/>
      </c>
      <c r="D102" t="str">
        <f>IF(C102&lt;&gt;"",(_xlfn.XLOOKUP(C102,'Loan Out'!A:A,'Loan Out'!B:B)),"")</f>
        <v/>
      </c>
      <c r="E102" t="str">
        <f>IF(B102&lt;&gt;"",(_xlfn.XLOOKUP(C102,'Loan Out'!A:A,'Loan Out'!I:I)),"")</f>
        <v/>
      </c>
      <c r="F102" s="2"/>
    </row>
    <row r="103" spans="1:6">
      <c r="A103" t="str">
        <f t="shared" si="2"/>
        <v/>
      </c>
      <c r="C103" t="str">
        <f t="shared" si="3"/>
        <v/>
      </c>
      <c r="D103" t="str">
        <f>IF(C103&lt;&gt;"",(_xlfn.XLOOKUP(C103,'Loan Out'!A:A,'Loan Out'!B:B)),"")</f>
        <v/>
      </c>
      <c r="E103" t="str">
        <f>IF(B103&lt;&gt;"",(_xlfn.XLOOKUP(C103,'Loan Out'!A:A,'Loan Out'!I:I)),"")</f>
        <v/>
      </c>
      <c r="F103" s="2"/>
    </row>
    <row r="104" spans="1:6">
      <c r="A104" t="str">
        <f t="shared" si="2"/>
        <v/>
      </c>
      <c r="C104" t="str">
        <f t="shared" si="3"/>
        <v/>
      </c>
      <c r="D104" t="str">
        <f>IF(C104&lt;&gt;"",(_xlfn.XLOOKUP(C104,'Loan Out'!A:A,'Loan Out'!B:B)),"")</f>
        <v/>
      </c>
      <c r="E104" t="str">
        <f>IF(B104&lt;&gt;"",(_xlfn.XLOOKUP(C104,'Loan Out'!A:A,'Loan Out'!I:I)),"")</f>
        <v/>
      </c>
      <c r="F104" s="2"/>
    </row>
    <row r="105" spans="1:6">
      <c r="A105" t="str">
        <f t="shared" si="2"/>
        <v/>
      </c>
      <c r="C105" t="str">
        <f t="shared" si="3"/>
        <v/>
      </c>
      <c r="D105" t="str">
        <f>IF(C105&lt;&gt;"",(_xlfn.XLOOKUP(C105,'Loan Out'!A:A,'Loan Out'!B:B)),"")</f>
        <v/>
      </c>
      <c r="E105" t="str">
        <f>IF(B105&lt;&gt;"",(_xlfn.XLOOKUP(C105,'Loan Out'!A:A,'Loan Out'!I:I)),"")</f>
        <v/>
      </c>
      <c r="F105" s="2"/>
    </row>
    <row r="106" spans="1:6">
      <c r="A106" t="str">
        <f t="shared" si="2"/>
        <v/>
      </c>
      <c r="C106" t="str">
        <f t="shared" si="3"/>
        <v/>
      </c>
      <c r="D106" t="str">
        <f>IF(C106&lt;&gt;"",(_xlfn.XLOOKUP(C106,'Loan Out'!A:A,'Loan Out'!B:B)),"")</f>
        <v/>
      </c>
      <c r="E106" t="str">
        <f>IF(B106&lt;&gt;"",(_xlfn.XLOOKUP(C106,'Loan Out'!A:A,'Loan Out'!I:I)),"")</f>
        <v/>
      </c>
      <c r="F106" s="2"/>
    </row>
    <row r="107" spans="1:6">
      <c r="A107" t="str">
        <f t="shared" si="2"/>
        <v/>
      </c>
      <c r="C107" t="str">
        <f t="shared" si="3"/>
        <v/>
      </c>
      <c r="D107" t="str">
        <f>IF(C107&lt;&gt;"",(_xlfn.XLOOKUP(C107,'Loan Out'!A:A,'Loan Out'!B:B)),"")</f>
        <v/>
      </c>
      <c r="E107" t="str">
        <f>IF(B107&lt;&gt;"",(_xlfn.XLOOKUP(C107,'Loan Out'!A:A,'Loan Out'!I:I)),"")</f>
        <v/>
      </c>
      <c r="F107" s="2"/>
    </row>
    <row r="108" spans="1:6">
      <c r="A108" t="str">
        <f t="shared" si="2"/>
        <v/>
      </c>
      <c r="C108" t="str">
        <f t="shared" si="3"/>
        <v/>
      </c>
      <c r="D108" t="str">
        <f>IF(C108&lt;&gt;"",(_xlfn.XLOOKUP(C108,'Loan Out'!A:A,'Loan Out'!B:B)),"")</f>
        <v/>
      </c>
      <c r="E108" t="str">
        <f>IF(B108&lt;&gt;"",(_xlfn.XLOOKUP(C108,'Loan Out'!A:A,'Loan Out'!I:I)),"")</f>
        <v/>
      </c>
      <c r="F108" s="2"/>
    </row>
    <row r="109" spans="1:6">
      <c r="A109" t="str">
        <f t="shared" si="2"/>
        <v/>
      </c>
      <c r="C109" t="str">
        <f t="shared" si="3"/>
        <v/>
      </c>
      <c r="D109" t="str">
        <f>IF(C109&lt;&gt;"",(_xlfn.XLOOKUP(C109,'Loan Out'!A:A,'Loan Out'!B:B)),"")</f>
        <v/>
      </c>
      <c r="E109" t="str">
        <f>IF(B109&lt;&gt;"",(_xlfn.XLOOKUP(C109,'Loan Out'!A:A,'Loan Out'!I:I)),"")</f>
        <v/>
      </c>
      <c r="F109" s="2"/>
    </row>
    <row r="110" spans="1:6">
      <c r="A110" t="str">
        <f t="shared" si="2"/>
        <v/>
      </c>
      <c r="C110" t="str">
        <f t="shared" si="3"/>
        <v/>
      </c>
      <c r="D110" t="str">
        <f>IF(C110&lt;&gt;"",(_xlfn.XLOOKUP(C110,'Loan Out'!A:A,'Loan Out'!B:B)),"")</f>
        <v/>
      </c>
      <c r="E110" t="str">
        <f>IF(B110&lt;&gt;"",(_xlfn.XLOOKUP(C110,'Loan Out'!A:A,'Loan Out'!I:I)),"")</f>
        <v/>
      </c>
      <c r="F110" s="2"/>
    </row>
    <row r="111" spans="1:6">
      <c r="A111" t="str">
        <f t="shared" si="2"/>
        <v/>
      </c>
      <c r="C111" t="str">
        <f t="shared" si="3"/>
        <v/>
      </c>
      <c r="D111" t="str">
        <f>IF(C111&lt;&gt;"",(_xlfn.XLOOKUP(C111,'Loan Out'!A:A,'Loan Out'!B:B)),"")</f>
        <v/>
      </c>
      <c r="E111" t="str">
        <f>IF(B111&lt;&gt;"",(_xlfn.XLOOKUP(C111,'Loan Out'!A:A,'Loan Out'!I:I)),"")</f>
        <v/>
      </c>
      <c r="F111" s="2"/>
    </row>
    <row r="112" spans="1:6">
      <c r="A112" t="str">
        <f t="shared" si="2"/>
        <v/>
      </c>
      <c r="C112" t="str">
        <f t="shared" si="3"/>
        <v/>
      </c>
      <c r="D112" t="str">
        <f>IF(C112&lt;&gt;"",(_xlfn.XLOOKUP(C112,'Loan Out'!A:A,'Loan Out'!B:B)),"")</f>
        <v/>
      </c>
      <c r="E112" t="str">
        <f>IF(B112&lt;&gt;"",(_xlfn.XLOOKUP(C112,'Loan Out'!A:A,'Loan Out'!I:I)),"")</f>
        <v/>
      </c>
      <c r="F112" s="2"/>
    </row>
    <row r="113" spans="1:6">
      <c r="A113" t="str">
        <f t="shared" si="2"/>
        <v/>
      </c>
      <c r="C113" t="str">
        <f t="shared" si="3"/>
        <v/>
      </c>
      <c r="D113" t="str">
        <f>IF(C113&lt;&gt;"",(_xlfn.XLOOKUP(C113,'Loan Out'!A:A,'Loan Out'!B:B)),"")</f>
        <v/>
      </c>
      <c r="E113" t="str">
        <f>IF(B113&lt;&gt;"",(_xlfn.XLOOKUP(C113,'Loan Out'!A:A,'Loan Out'!I:I)),"")</f>
        <v/>
      </c>
      <c r="F113" s="2"/>
    </row>
    <row r="114" spans="1:6">
      <c r="A114" t="str">
        <f t="shared" si="2"/>
        <v/>
      </c>
      <c r="C114" t="str">
        <f t="shared" si="3"/>
        <v/>
      </c>
      <c r="D114" t="str">
        <f>IF(C114&lt;&gt;"",(_xlfn.XLOOKUP(C114,'Loan Out'!A:A,'Loan Out'!B:B)),"")</f>
        <v/>
      </c>
      <c r="E114" t="str">
        <f>IF(B114&lt;&gt;"",(_xlfn.XLOOKUP(C114,'Loan Out'!A:A,'Loan Out'!I:I)),"")</f>
        <v/>
      </c>
      <c r="F114" s="2"/>
    </row>
    <row r="115" spans="1:6">
      <c r="A115" t="str">
        <f t="shared" si="2"/>
        <v/>
      </c>
      <c r="C115" t="str">
        <f t="shared" si="3"/>
        <v/>
      </c>
      <c r="D115" t="str">
        <f>IF(C115&lt;&gt;"",(_xlfn.XLOOKUP(C115,'Loan Out'!A:A,'Loan Out'!B:B)),"")</f>
        <v/>
      </c>
      <c r="E115" t="str">
        <f>IF(B115&lt;&gt;"",(_xlfn.XLOOKUP(C115,'Loan Out'!A:A,'Loan Out'!I:I)),"")</f>
        <v/>
      </c>
      <c r="F115" s="2"/>
    </row>
    <row r="116" spans="1:6">
      <c r="A116" t="str">
        <f t="shared" si="2"/>
        <v/>
      </c>
      <c r="C116" t="str">
        <f t="shared" si="3"/>
        <v/>
      </c>
      <c r="D116" t="str">
        <f>IF(C116&lt;&gt;"",(_xlfn.XLOOKUP(C116,'Loan Out'!A:A,'Loan Out'!B:B)),"")</f>
        <v/>
      </c>
      <c r="E116" t="str">
        <f>IF(B116&lt;&gt;"",(_xlfn.XLOOKUP(C116,'Loan Out'!A:A,'Loan Out'!I:I)),"")</f>
        <v/>
      </c>
      <c r="F116" s="2"/>
    </row>
    <row r="117" spans="1:6">
      <c r="A117" t="str">
        <f t="shared" si="2"/>
        <v/>
      </c>
      <c r="C117" t="str">
        <f t="shared" si="3"/>
        <v/>
      </c>
      <c r="D117" t="str">
        <f>IF(C117&lt;&gt;"",(_xlfn.XLOOKUP(C117,'Loan Out'!A:A,'Loan Out'!B:B)),"")</f>
        <v/>
      </c>
      <c r="E117" t="str">
        <f>IF(B117&lt;&gt;"",(_xlfn.XLOOKUP(C117,'Loan Out'!A:A,'Loan Out'!I:I)),"")</f>
        <v/>
      </c>
      <c r="F117" s="2"/>
    </row>
    <row r="118" spans="1:6">
      <c r="A118" t="str">
        <f t="shared" si="2"/>
        <v/>
      </c>
      <c r="C118" t="str">
        <f t="shared" si="3"/>
        <v/>
      </c>
      <c r="D118" t="str">
        <f>IF(C118&lt;&gt;"",(_xlfn.XLOOKUP(C118,'Loan Out'!A:A,'Loan Out'!B:B)),"")</f>
        <v/>
      </c>
      <c r="E118" t="str">
        <f>IF(B118&lt;&gt;"",(_xlfn.XLOOKUP(C118,'Loan Out'!A:A,'Loan Out'!I:I)),"")</f>
        <v/>
      </c>
      <c r="F118" s="2"/>
    </row>
    <row r="119" spans="1:6">
      <c r="A119" t="str">
        <f t="shared" si="2"/>
        <v/>
      </c>
      <c r="C119" t="str">
        <f t="shared" si="3"/>
        <v/>
      </c>
      <c r="D119" t="str">
        <f>IF(C119&lt;&gt;"",(_xlfn.XLOOKUP(C119,'Loan Out'!A:A,'Loan Out'!B:B)),"")</f>
        <v/>
      </c>
      <c r="E119" t="str">
        <f>IF(B119&lt;&gt;"",(_xlfn.XLOOKUP(C119,'Loan Out'!A:A,'Loan Out'!I:I)),"")</f>
        <v/>
      </c>
      <c r="F119" s="2"/>
    </row>
    <row r="120" spans="1:6">
      <c r="A120" t="str">
        <f t="shared" si="2"/>
        <v/>
      </c>
      <c r="C120" t="str">
        <f t="shared" si="3"/>
        <v/>
      </c>
      <c r="D120" t="str">
        <f>IF(C120&lt;&gt;"",(_xlfn.XLOOKUP(C120,'Loan Out'!A:A,'Loan Out'!B:B)),"")</f>
        <v/>
      </c>
      <c r="E120" t="str">
        <f>IF(B120&lt;&gt;"",(_xlfn.XLOOKUP(C120,'Loan Out'!A:A,'Loan Out'!I:I)),"")</f>
        <v/>
      </c>
      <c r="F120" s="2"/>
    </row>
    <row r="121" spans="1:6">
      <c r="A121" t="str">
        <f t="shared" si="2"/>
        <v/>
      </c>
      <c r="C121" t="str">
        <f t="shared" si="3"/>
        <v/>
      </c>
      <c r="D121" t="str">
        <f>IF(C121&lt;&gt;"",(_xlfn.XLOOKUP(C121,'Loan Out'!A:A,'Loan Out'!B:B)),"")</f>
        <v/>
      </c>
      <c r="E121" t="str">
        <f>IF(B121&lt;&gt;"",(_xlfn.XLOOKUP(C121,'Loan Out'!A:A,'Loan Out'!I:I)),"")</f>
        <v/>
      </c>
      <c r="F121" s="2"/>
    </row>
    <row r="122" spans="1:6">
      <c r="A122" t="str">
        <f t="shared" si="2"/>
        <v/>
      </c>
      <c r="C122" t="str">
        <f t="shared" si="3"/>
        <v/>
      </c>
      <c r="D122" t="str">
        <f>IF(C122&lt;&gt;"",(_xlfn.XLOOKUP(C122,'Loan Out'!A:A,'Loan Out'!B:B)),"")</f>
        <v/>
      </c>
      <c r="E122" t="str">
        <f>IF(B122&lt;&gt;"",(_xlfn.XLOOKUP(C122,'Loan Out'!A:A,'Loan Out'!I:I)),"")</f>
        <v/>
      </c>
      <c r="F122" s="2"/>
    </row>
    <row r="123" spans="1:6">
      <c r="A123" t="str">
        <f t="shared" si="2"/>
        <v/>
      </c>
      <c r="C123" t="str">
        <f t="shared" si="3"/>
        <v/>
      </c>
      <c r="D123" t="str">
        <f>IF(C123&lt;&gt;"",(_xlfn.XLOOKUP(C123,'Loan Out'!A:A,'Loan Out'!B:B)),"")</f>
        <v/>
      </c>
      <c r="E123" t="str">
        <f>IF(B123&lt;&gt;"",(_xlfn.XLOOKUP(C123,'Loan Out'!A:A,'Loan Out'!I:I)),"")</f>
        <v/>
      </c>
      <c r="F123" s="2"/>
    </row>
    <row r="124" spans="1:6">
      <c r="A124" t="str">
        <f t="shared" si="2"/>
        <v/>
      </c>
      <c r="C124" t="str">
        <f t="shared" si="3"/>
        <v/>
      </c>
      <c r="D124" t="str">
        <f>IF(C124&lt;&gt;"",(_xlfn.XLOOKUP(C124,'Loan Out'!A:A,'Loan Out'!B:B)),"")</f>
        <v/>
      </c>
      <c r="E124" t="str">
        <f>IF(B124&lt;&gt;"",(_xlfn.XLOOKUP(C124,'Loan Out'!A:A,'Loan Out'!I:I)),"")</f>
        <v/>
      </c>
      <c r="F124" s="2"/>
    </row>
    <row r="125" spans="1:6">
      <c r="A125" t="str">
        <f t="shared" si="2"/>
        <v/>
      </c>
      <c r="C125" t="str">
        <f t="shared" si="3"/>
        <v/>
      </c>
      <c r="D125" t="str">
        <f>IF(C125&lt;&gt;"",(_xlfn.XLOOKUP(C125,'Loan Out'!A:A,'Loan Out'!B:B)),"")</f>
        <v/>
      </c>
      <c r="E125" t="str">
        <f>IF(B125&lt;&gt;"",(_xlfn.XLOOKUP(C125,'Loan Out'!A:A,'Loan Out'!I:I)),"")</f>
        <v/>
      </c>
      <c r="F125" s="2"/>
    </row>
    <row r="126" spans="1:6">
      <c r="A126" t="str">
        <f t="shared" si="2"/>
        <v/>
      </c>
      <c r="C126" t="str">
        <f t="shared" si="3"/>
        <v/>
      </c>
      <c r="D126" t="str">
        <f>IF(C126&lt;&gt;"",(_xlfn.XLOOKUP(C126,'Loan Out'!A:A,'Loan Out'!B:B)),"")</f>
        <v/>
      </c>
      <c r="E126" t="str">
        <f>IF(B126&lt;&gt;"",(_xlfn.XLOOKUP(C126,'Loan Out'!A:A,'Loan Out'!I:I)),"")</f>
        <v/>
      </c>
      <c r="F126" s="2"/>
    </row>
    <row r="127" spans="1:6">
      <c r="A127" t="str">
        <f t="shared" si="2"/>
        <v/>
      </c>
      <c r="C127" t="str">
        <f t="shared" si="3"/>
        <v/>
      </c>
      <c r="D127" t="str">
        <f>IF(C127&lt;&gt;"",(_xlfn.XLOOKUP(C127,'Loan Out'!A:A,'Loan Out'!B:B)),"")</f>
        <v/>
      </c>
      <c r="E127" t="str">
        <f>IF(B127&lt;&gt;"",(_xlfn.XLOOKUP(C127,'Loan Out'!A:A,'Loan Out'!I:I)),"")</f>
        <v/>
      </c>
      <c r="F127" s="2"/>
    </row>
    <row r="128" spans="1:6">
      <c r="A128" t="str">
        <f t="shared" si="2"/>
        <v/>
      </c>
      <c r="C128" t="str">
        <f t="shared" si="3"/>
        <v/>
      </c>
      <c r="D128" t="str">
        <f>IF(C128&lt;&gt;"",(_xlfn.XLOOKUP(C128,'Loan Out'!A:A,'Loan Out'!B:B)),"")</f>
        <v/>
      </c>
      <c r="E128" t="str">
        <f>IF(B128&lt;&gt;"",(_xlfn.XLOOKUP(C128,'Loan Out'!A:A,'Loan Out'!I:I)),"")</f>
        <v/>
      </c>
      <c r="F128" s="2"/>
    </row>
    <row r="129" spans="1:6">
      <c r="A129" t="str">
        <f t="shared" si="2"/>
        <v/>
      </c>
      <c r="C129" t="str">
        <f t="shared" si="3"/>
        <v/>
      </c>
      <c r="D129" t="str">
        <f>IF(C129&lt;&gt;"",(_xlfn.XLOOKUP(C129,'Loan Out'!A:A,'Loan Out'!B:B)),"")</f>
        <v/>
      </c>
      <c r="E129" t="str">
        <f>IF(B129&lt;&gt;"",(_xlfn.XLOOKUP(C129,'Loan Out'!A:A,'Loan Out'!I:I)),"")</f>
        <v/>
      </c>
      <c r="F129" s="2"/>
    </row>
    <row r="130" spans="1:6">
      <c r="A130" t="str">
        <f t="shared" si="2"/>
        <v/>
      </c>
      <c r="C130" t="str">
        <f t="shared" si="3"/>
        <v/>
      </c>
      <c r="D130" t="str">
        <f>IF(C130&lt;&gt;"",(_xlfn.XLOOKUP(C130,'Loan Out'!A:A,'Loan Out'!B:B)),"")</f>
        <v/>
      </c>
      <c r="E130" t="str">
        <f>IF(B130&lt;&gt;"",(_xlfn.XLOOKUP(C130,'Loan Out'!A:A,'Loan Out'!I:I)),"")</f>
        <v/>
      </c>
      <c r="F130" s="2"/>
    </row>
    <row r="131" spans="1:6">
      <c r="A131" t="str">
        <f t="shared" ref="A131:A194" si="4">IF(B131&lt;&gt;"","P"&amp;ROW()-1,"")</f>
        <v/>
      </c>
      <c r="C131" t="str">
        <f t="shared" ref="C131:C194" si="5">IF(B131&lt;&gt;"",(LEFT(B131,FIND(" |",B131)-1)),"")</f>
        <v/>
      </c>
      <c r="D131" t="str">
        <f>IF(C131&lt;&gt;"",(_xlfn.XLOOKUP(C131,'Loan Out'!A:A,'Loan Out'!B:B)),"")</f>
        <v/>
      </c>
      <c r="E131" t="str">
        <f>IF(B131&lt;&gt;"",(_xlfn.XLOOKUP(C131,'Loan Out'!A:A,'Loan Out'!I:I)),"")</f>
        <v/>
      </c>
      <c r="F131" s="2"/>
    </row>
    <row r="132" spans="1:6">
      <c r="A132" t="str">
        <f t="shared" si="4"/>
        <v/>
      </c>
      <c r="C132" t="str">
        <f t="shared" si="5"/>
        <v/>
      </c>
      <c r="D132" t="str">
        <f>IF(C132&lt;&gt;"",(_xlfn.XLOOKUP(C132,'Loan Out'!A:A,'Loan Out'!B:B)),"")</f>
        <v/>
      </c>
      <c r="E132" t="str">
        <f>IF(B132&lt;&gt;"",(_xlfn.XLOOKUP(C132,'Loan Out'!A:A,'Loan Out'!I:I)),"")</f>
        <v/>
      </c>
      <c r="F132" s="2"/>
    </row>
    <row r="133" spans="1:6">
      <c r="A133" t="str">
        <f t="shared" si="4"/>
        <v/>
      </c>
      <c r="C133" t="str">
        <f t="shared" si="5"/>
        <v/>
      </c>
      <c r="D133" t="str">
        <f>IF(C133&lt;&gt;"",(_xlfn.XLOOKUP(C133,'Loan Out'!A:A,'Loan Out'!B:B)),"")</f>
        <v/>
      </c>
      <c r="E133" t="str">
        <f>IF(B133&lt;&gt;"",(_xlfn.XLOOKUP(C133,'Loan Out'!A:A,'Loan Out'!I:I)),"")</f>
        <v/>
      </c>
      <c r="F133" s="2"/>
    </row>
    <row r="134" spans="1:6">
      <c r="A134" t="str">
        <f t="shared" si="4"/>
        <v/>
      </c>
      <c r="C134" t="str">
        <f t="shared" si="5"/>
        <v/>
      </c>
      <c r="D134" t="str">
        <f>IF(C134&lt;&gt;"",(_xlfn.XLOOKUP(C134,'Loan Out'!A:A,'Loan Out'!B:B)),"")</f>
        <v/>
      </c>
      <c r="E134" t="str">
        <f>IF(B134&lt;&gt;"",(_xlfn.XLOOKUP(C134,'Loan Out'!A:A,'Loan Out'!I:I)),"")</f>
        <v/>
      </c>
      <c r="F134" s="2"/>
    </row>
    <row r="135" spans="1:6">
      <c r="A135" t="str">
        <f t="shared" si="4"/>
        <v/>
      </c>
      <c r="C135" t="str">
        <f t="shared" si="5"/>
        <v/>
      </c>
      <c r="D135" t="str">
        <f>IF(C135&lt;&gt;"",(_xlfn.XLOOKUP(C135,'Loan Out'!A:A,'Loan Out'!B:B)),"")</f>
        <v/>
      </c>
      <c r="E135" t="str">
        <f>IF(B135&lt;&gt;"",(_xlfn.XLOOKUP(C135,'Loan Out'!A:A,'Loan Out'!I:I)),"")</f>
        <v/>
      </c>
      <c r="F135" s="2"/>
    </row>
    <row r="136" spans="1:6">
      <c r="A136" t="str">
        <f t="shared" si="4"/>
        <v/>
      </c>
      <c r="C136" t="str">
        <f t="shared" si="5"/>
        <v/>
      </c>
      <c r="D136" t="str">
        <f>IF(C136&lt;&gt;"",(_xlfn.XLOOKUP(C136,'Loan Out'!A:A,'Loan Out'!B:B)),"")</f>
        <v/>
      </c>
      <c r="E136" t="str">
        <f>IF(B136&lt;&gt;"",(_xlfn.XLOOKUP(C136,'Loan Out'!A:A,'Loan Out'!I:I)),"")</f>
        <v/>
      </c>
      <c r="F136" s="2"/>
    </row>
    <row r="137" spans="1:6">
      <c r="A137" t="str">
        <f t="shared" si="4"/>
        <v/>
      </c>
      <c r="C137" t="str">
        <f t="shared" si="5"/>
        <v/>
      </c>
      <c r="D137" t="str">
        <f>IF(C137&lt;&gt;"",(_xlfn.XLOOKUP(C137,'Loan Out'!A:A,'Loan Out'!B:B)),"")</f>
        <v/>
      </c>
      <c r="E137" t="str">
        <f>IF(B137&lt;&gt;"",(_xlfn.XLOOKUP(C137,'Loan Out'!A:A,'Loan Out'!I:I)),"")</f>
        <v/>
      </c>
      <c r="F137" s="2"/>
    </row>
    <row r="138" spans="1:6">
      <c r="A138" t="str">
        <f t="shared" si="4"/>
        <v/>
      </c>
      <c r="C138" t="str">
        <f t="shared" si="5"/>
        <v/>
      </c>
      <c r="D138" t="str">
        <f>IF(C138&lt;&gt;"",(_xlfn.XLOOKUP(C138,'Loan Out'!A:A,'Loan Out'!B:B)),"")</f>
        <v/>
      </c>
      <c r="E138" t="str">
        <f>IF(B138&lt;&gt;"",(_xlfn.XLOOKUP(C138,'Loan Out'!A:A,'Loan Out'!I:I)),"")</f>
        <v/>
      </c>
      <c r="F138" s="2"/>
    </row>
    <row r="139" spans="1:6">
      <c r="A139" t="str">
        <f t="shared" si="4"/>
        <v/>
      </c>
      <c r="C139" t="str">
        <f t="shared" si="5"/>
        <v/>
      </c>
      <c r="D139" t="str">
        <f>IF(C139&lt;&gt;"",(_xlfn.XLOOKUP(C139,'Loan Out'!A:A,'Loan Out'!B:B)),"")</f>
        <v/>
      </c>
      <c r="E139" t="str">
        <f>IF(B139&lt;&gt;"",(_xlfn.XLOOKUP(C139,'Loan Out'!A:A,'Loan Out'!I:I)),"")</f>
        <v/>
      </c>
      <c r="F139" s="2"/>
    </row>
    <row r="140" spans="1:6">
      <c r="A140" t="str">
        <f t="shared" si="4"/>
        <v/>
      </c>
      <c r="C140" t="str">
        <f t="shared" si="5"/>
        <v/>
      </c>
      <c r="D140" t="str">
        <f>IF(C140&lt;&gt;"",(_xlfn.XLOOKUP(C140,'Loan Out'!A:A,'Loan Out'!B:B)),"")</f>
        <v/>
      </c>
      <c r="E140" t="str">
        <f>IF(B140&lt;&gt;"",(_xlfn.XLOOKUP(C140,'Loan Out'!A:A,'Loan Out'!I:I)),"")</f>
        <v/>
      </c>
      <c r="F140" s="2"/>
    </row>
    <row r="141" spans="1:6">
      <c r="A141" t="str">
        <f t="shared" si="4"/>
        <v/>
      </c>
      <c r="C141" t="str">
        <f t="shared" si="5"/>
        <v/>
      </c>
      <c r="D141" t="str">
        <f>IF(C141&lt;&gt;"",(_xlfn.XLOOKUP(C141,'Loan Out'!A:A,'Loan Out'!B:B)),"")</f>
        <v/>
      </c>
      <c r="E141" t="str">
        <f>IF(B141&lt;&gt;"",(_xlfn.XLOOKUP(C141,'Loan Out'!A:A,'Loan Out'!I:I)),"")</f>
        <v/>
      </c>
      <c r="F141" s="2"/>
    </row>
    <row r="142" spans="1:6">
      <c r="A142" t="str">
        <f t="shared" si="4"/>
        <v/>
      </c>
      <c r="C142" t="str">
        <f t="shared" si="5"/>
        <v/>
      </c>
      <c r="D142" t="str">
        <f>IF(C142&lt;&gt;"",(_xlfn.XLOOKUP(C142,'Loan Out'!A:A,'Loan Out'!B:B)),"")</f>
        <v/>
      </c>
      <c r="E142" t="str">
        <f>IF(B142&lt;&gt;"",(_xlfn.XLOOKUP(C142,'Loan Out'!A:A,'Loan Out'!I:I)),"")</f>
        <v/>
      </c>
      <c r="F142" s="2"/>
    </row>
    <row r="143" spans="1:6">
      <c r="A143" t="str">
        <f t="shared" si="4"/>
        <v/>
      </c>
      <c r="C143" t="str">
        <f t="shared" si="5"/>
        <v/>
      </c>
      <c r="D143" t="str">
        <f>IF(C143&lt;&gt;"",(_xlfn.XLOOKUP(C143,'Loan Out'!A:A,'Loan Out'!B:B)),"")</f>
        <v/>
      </c>
      <c r="E143" t="str">
        <f>IF(B143&lt;&gt;"",(_xlfn.XLOOKUP(C143,'Loan Out'!A:A,'Loan Out'!I:I)),"")</f>
        <v/>
      </c>
      <c r="F143" s="2"/>
    </row>
    <row r="144" spans="1:6">
      <c r="A144" t="str">
        <f t="shared" si="4"/>
        <v/>
      </c>
      <c r="C144" t="str">
        <f t="shared" si="5"/>
        <v/>
      </c>
      <c r="D144" t="str">
        <f>IF(C144&lt;&gt;"",(_xlfn.XLOOKUP(C144,'Loan Out'!A:A,'Loan Out'!B:B)),"")</f>
        <v/>
      </c>
      <c r="E144" t="str">
        <f>IF(B144&lt;&gt;"",(_xlfn.XLOOKUP(C144,'Loan Out'!A:A,'Loan Out'!I:I)),"")</f>
        <v/>
      </c>
      <c r="F144" s="2"/>
    </row>
    <row r="145" spans="1:6">
      <c r="A145" t="str">
        <f t="shared" si="4"/>
        <v/>
      </c>
      <c r="C145" t="str">
        <f t="shared" si="5"/>
        <v/>
      </c>
      <c r="D145" t="str">
        <f>IF(C145&lt;&gt;"",(_xlfn.XLOOKUP(C145,'Loan Out'!A:A,'Loan Out'!B:B)),"")</f>
        <v/>
      </c>
      <c r="E145" t="str">
        <f>IF(B145&lt;&gt;"",(_xlfn.XLOOKUP(C145,'Loan Out'!A:A,'Loan Out'!I:I)),"")</f>
        <v/>
      </c>
      <c r="F145" s="2"/>
    </row>
    <row r="146" spans="1:6">
      <c r="A146" t="str">
        <f t="shared" si="4"/>
        <v/>
      </c>
      <c r="C146" t="str">
        <f t="shared" si="5"/>
        <v/>
      </c>
      <c r="D146" t="str">
        <f>IF(C146&lt;&gt;"",(_xlfn.XLOOKUP(C146,'Loan Out'!A:A,'Loan Out'!B:B)),"")</f>
        <v/>
      </c>
      <c r="E146" t="str">
        <f>IF(B146&lt;&gt;"",(_xlfn.XLOOKUP(C146,'Loan Out'!A:A,'Loan Out'!I:I)),"")</f>
        <v/>
      </c>
      <c r="F146" s="2"/>
    </row>
    <row r="147" spans="1:6">
      <c r="A147" t="str">
        <f t="shared" si="4"/>
        <v/>
      </c>
      <c r="C147" t="str">
        <f t="shared" si="5"/>
        <v/>
      </c>
      <c r="D147" t="str">
        <f>IF(C147&lt;&gt;"",(_xlfn.XLOOKUP(C147,'Loan Out'!A:A,'Loan Out'!B:B)),"")</f>
        <v/>
      </c>
      <c r="E147" t="str">
        <f>IF(B147&lt;&gt;"",(_xlfn.XLOOKUP(C147,'Loan Out'!A:A,'Loan Out'!I:I)),"")</f>
        <v/>
      </c>
      <c r="F147" s="2"/>
    </row>
    <row r="148" spans="1:6">
      <c r="A148" t="str">
        <f t="shared" si="4"/>
        <v/>
      </c>
      <c r="C148" t="str">
        <f t="shared" si="5"/>
        <v/>
      </c>
      <c r="D148" t="str">
        <f>IF(C148&lt;&gt;"",(_xlfn.XLOOKUP(C148,'Loan Out'!A:A,'Loan Out'!B:B)),"")</f>
        <v/>
      </c>
      <c r="E148" t="str">
        <f>IF(B148&lt;&gt;"",(_xlfn.XLOOKUP(C148,'Loan Out'!A:A,'Loan Out'!I:I)),"")</f>
        <v/>
      </c>
      <c r="F148" s="2"/>
    </row>
    <row r="149" spans="1:6">
      <c r="A149" t="str">
        <f t="shared" si="4"/>
        <v/>
      </c>
      <c r="C149" t="str">
        <f t="shared" si="5"/>
        <v/>
      </c>
      <c r="D149" t="str">
        <f>IF(C149&lt;&gt;"",(_xlfn.XLOOKUP(C149,'Loan Out'!A:A,'Loan Out'!B:B)),"")</f>
        <v/>
      </c>
      <c r="E149" t="str">
        <f>IF(B149&lt;&gt;"",(_xlfn.XLOOKUP(C149,'Loan Out'!A:A,'Loan Out'!I:I)),"")</f>
        <v/>
      </c>
      <c r="F149" s="2"/>
    </row>
    <row r="150" spans="1:6">
      <c r="A150" t="str">
        <f t="shared" si="4"/>
        <v/>
      </c>
      <c r="C150" t="str">
        <f t="shared" si="5"/>
        <v/>
      </c>
      <c r="D150" t="str">
        <f>IF(C150&lt;&gt;"",(_xlfn.XLOOKUP(C150,'Loan Out'!A:A,'Loan Out'!B:B)),"")</f>
        <v/>
      </c>
      <c r="E150" t="str">
        <f>IF(B150&lt;&gt;"",(_xlfn.XLOOKUP(C150,'Loan Out'!A:A,'Loan Out'!I:I)),"")</f>
        <v/>
      </c>
      <c r="F150" s="2"/>
    </row>
    <row r="151" spans="1:6">
      <c r="A151" t="str">
        <f t="shared" si="4"/>
        <v/>
      </c>
      <c r="C151" t="str">
        <f t="shared" si="5"/>
        <v/>
      </c>
      <c r="D151" t="str">
        <f>IF(C151&lt;&gt;"",(_xlfn.XLOOKUP(C151,'Loan Out'!A:A,'Loan Out'!B:B)),"")</f>
        <v/>
      </c>
      <c r="E151" t="str">
        <f>IF(B151&lt;&gt;"",(_xlfn.XLOOKUP(C151,'Loan Out'!A:A,'Loan Out'!I:I)),"")</f>
        <v/>
      </c>
      <c r="F151" s="2"/>
    </row>
    <row r="152" spans="1:6">
      <c r="A152" t="str">
        <f t="shared" si="4"/>
        <v/>
      </c>
      <c r="C152" t="str">
        <f t="shared" si="5"/>
        <v/>
      </c>
      <c r="D152" t="str">
        <f>IF(C152&lt;&gt;"",(_xlfn.XLOOKUP(C152,'Loan Out'!A:A,'Loan Out'!B:B)),"")</f>
        <v/>
      </c>
      <c r="E152" t="str">
        <f>IF(B152&lt;&gt;"",(_xlfn.XLOOKUP(C152,'Loan Out'!A:A,'Loan Out'!I:I)),"")</f>
        <v/>
      </c>
      <c r="F152" s="2"/>
    </row>
    <row r="153" spans="1:6">
      <c r="A153" t="str">
        <f t="shared" si="4"/>
        <v/>
      </c>
      <c r="C153" t="str">
        <f t="shared" si="5"/>
        <v/>
      </c>
      <c r="D153" t="str">
        <f>IF(C153&lt;&gt;"",(_xlfn.XLOOKUP(C153,'Loan Out'!A:A,'Loan Out'!B:B)),"")</f>
        <v/>
      </c>
      <c r="E153" t="str">
        <f>IF(B153&lt;&gt;"",(_xlfn.XLOOKUP(C153,'Loan Out'!A:A,'Loan Out'!I:I)),"")</f>
        <v/>
      </c>
      <c r="F153" s="2"/>
    </row>
    <row r="154" spans="1:6">
      <c r="A154" t="str">
        <f t="shared" si="4"/>
        <v/>
      </c>
      <c r="C154" t="str">
        <f t="shared" si="5"/>
        <v/>
      </c>
      <c r="D154" t="str">
        <f>IF(C154&lt;&gt;"",(_xlfn.XLOOKUP(C154,'Loan Out'!A:A,'Loan Out'!B:B)),"")</f>
        <v/>
      </c>
      <c r="E154" t="str">
        <f>IF(B154&lt;&gt;"",(_xlfn.XLOOKUP(C154,'Loan Out'!A:A,'Loan Out'!I:I)),"")</f>
        <v/>
      </c>
      <c r="F154" s="2"/>
    </row>
    <row r="155" spans="1:6">
      <c r="A155" t="str">
        <f t="shared" si="4"/>
        <v/>
      </c>
      <c r="C155" t="str">
        <f t="shared" si="5"/>
        <v/>
      </c>
      <c r="D155" t="str">
        <f>IF(C155&lt;&gt;"",(_xlfn.XLOOKUP(C155,'Loan Out'!A:A,'Loan Out'!B:B)),"")</f>
        <v/>
      </c>
      <c r="E155" t="str">
        <f>IF(B155&lt;&gt;"",(_xlfn.XLOOKUP(C155,'Loan Out'!A:A,'Loan Out'!I:I)),"")</f>
        <v/>
      </c>
      <c r="F155" s="2"/>
    </row>
    <row r="156" spans="1:6">
      <c r="A156" t="str">
        <f t="shared" si="4"/>
        <v/>
      </c>
      <c r="C156" t="str">
        <f t="shared" si="5"/>
        <v/>
      </c>
      <c r="D156" t="str">
        <f>IF(C156&lt;&gt;"",(_xlfn.XLOOKUP(C156,'Loan Out'!A:A,'Loan Out'!B:B)),"")</f>
        <v/>
      </c>
      <c r="E156" t="str">
        <f>IF(B156&lt;&gt;"",(_xlfn.XLOOKUP(C156,'Loan Out'!A:A,'Loan Out'!I:I)),"")</f>
        <v/>
      </c>
      <c r="F156" s="2"/>
    </row>
    <row r="157" spans="1:6">
      <c r="A157" t="str">
        <f t="shared" si="4"/>
        <v/>
      </c>
      <c r="C157" t="str">
        <f t="shared" si="5"/>
        <v/>
      </c>
      <c r="D157" t="str">
        <f>IF(C157&lt;&gt;"",(_xlfn.XLOOKUP(C157,'Loan Out'!A:A,'Loan Out'!B:B)),"")</f>
        <v/>
      </c>
      <c r="E157" t="str">
        <f>IF(B157&lt;&gt;"",(_xlfn.XLOOKUP(C157,'Loan Out'!A:A,'Loan Out'!I:I)),"")</f>
        <v/>
      </c>
      <c r="F157" s="2"/>
    </row>
    <row r="158" spans="1:6">
      <c r="A158" t="str">
        <f t="shared" si="4"/>
        <v/>
      </c>
      <c r="C158" t="str">
        <f t="shared" si="5"/>
        <v/>
      </c>
      <c r="D158" t="str">
        <f>IF(C158&lt;&gt;"",(_xlfn.XLOOKUP(C158,'Loan Out'!A:A,'Loan Out'!B:B)),"")</f>
        <v/>
      </c>
      <c r="E158" t="str">
        <f>IF(B158&lt;&gt;"",(_xlfn.XLOOKUP(C158,'Loan Out'!A:A,'Loan Out'!I:I)),"")</f>
        <v/>
      </c>
      <c r="F158" s="2"/>
    </row>
    <row r="159" spans="1:6">
      <c r="A159" t="str">
        <f t="shared" si="4"/>
        <v/>
      </c>
      <c r="C159" t="str">
        <f t="shared" si="5"/>
        <v/>
      </c>
      <c r="D159" t="str">
        <f>IF(C159&lt;&gt;"",(_xlfn.XLOOKUP(C159,'Loan Out'!A:A,'Loan Out'!B:B)),"")</f>
        <v/>
      </c>
      <c r="E159" t="str">
        <f>IF(B159&lt;&gt;"",(_xlfn.XLOOKUP(C159,'Loan Out'!A:A,'Loan Out'!I:I)),"")</f>
        <v/>
      </c>
      <c r="F159" s="2"/>
    </row>
    <row r="160" spans="1:6">
      <c r="A160" t="str">
        <f t="shared" si="4"/>
        <v/>
      </c>
      <c r="C160" t="str">
        <f t="shared" si="5"/>
        <v/>
      </c>
      <c r="D160" t="str">
        <f>IF(C160&lt;&gt;"",(_xlfn.XLOOKUP(C160,'Loan Out'!A:A,'Loan Out'!B:B)),"")</f>
        <v/>
      </c>
      <c r="E160" t="str">
        <f>IF(B160&lt;&gt;"",(_xlfn.XLOOKUP(C160,'Loan Out'!A:A,'Loan Out'!I:I)),"")</f>
        <v/>
      </c>
      <c r="F160" s="2"/>
    </row>
    <row r="161" spans="1:6">
      <c r="A161" t="str">
        <f t="shared" si="4"/>
        <v/>
      </c>
      <c r="C161" t="str">
        <f t="shared" si="5"/>
        <v/>
      </c>
      <c r="D161" t="str">
        <f>IF(C161&lt;&gt;"",(_xlfn.XLOOKUP(C161,'Loan Out'!A:A,'Loan Out'!B:B)),"")</f>
        <v/>
      </c>
      <c r="E161" t="str">
        <f>IF(B161&lt;&gt;"",(_xlfn.XLOOKUP(C161,'Loan Out'!A:A,'Loan Out'!I:I)),"")</f>
        <v/>
      </c>
      <c r="F161" s="2"/>
    </row>
    <row r="162" spans="1:6">
      <c r="A162" t="str">
        <f t="shared" si="4"/>
        <v/>
      </c>
      <c r="C162" t="str">
        <f t="shared" si="5"/>
        <v/>
      </c>
      <c r="D162" t="str">
        <f>IF(C162&lt;&gt;"",(_xlfn.XLOOKUP(C162,'Loan Out'!A:A,'Loan Out'!B:B)),"")</f>
        <v/>
      </c>
      <c r="E162" t="str">
        <f>IF(B162&lt;&gt;"",(_xlfn.XLOOKUP(C162,'Loan Out'!A:A,'Loan Out'!I:I)),"")</f>
        <v/>
      </c>
      <c r="F162" s="2"/>
    </row>
    <row r="163" spans="1:6">
      <c r="A163" t="str">
        <f t="shared" si="4"/>
        <v/>
      </c>
      <c r="C163" t="str">
        <f t="shared" si="5"/>
        <v/>
      </c>
      <c r="D163" t="str">
        <f>IF(C163&lt;&gt;"",(_xlfn.XLOOKUP(C163,'Loan Out'!A:A,'Loan Out'!B:B)),"")</f>
        <v/>
      </c>
      <c r="E163" t="str">
        <f>IF(B163&lt;&gt;"",(_xlfn.XLOOKUP(C163,'Loan Out'!A:A,'Loan Out'!I:I)),"")</f>
        <v/>
      </c>
      <c r="F163" s="2"/>
    </row>
    <row r="164" spans="1:6">
      <c r="A164" t="str">
        <f t="shared" si="4"/>
        <v/>
      </c>
      <c r="C164" t="str">
        <f t="shared" si="5"/>
        <v/>
      </c>
      <c r="D164" t="str">
        <f>IF(C164&lt;&gt;"",(_xlfn.XLOOKUP(C164,'Loan Out'!A:A,'Loan Out'!B:B)),"")</f>
        <v/>
      </c>
      <c r="E164" t="str">
        <f>IF(B164&lt;&gt;"",(_xlfn.XLOOKUP(C164,'Loan Out'!A:A,'Loan Out'!I:I)),"")</f>
        <v/>
      </c>
      <c r="F164" s="2"/>
    </row>
    <row r="165" spans="1:6">
      <c r="A165" t="str">
        <f t="shared" si="4"/>
        <v/>
      </c>
      <c r="C165" t="str">
        <f t="shared" si="5"/>
        <v/>
      </c>
      <c r="D165" t="str">
        <f>IF(C165&lt;&gt;"",(_xlfn.XLOOKUP(C165,'Loan Out'!A:A,'Loan Out'!B:B)),"")</f>
        <v/>
      </c>
      <c r="E165" t="str">
        <f>IF(B165&lt;&gt;"",(_xlfn.XLOOKUP(C165,'Loan Out'!A:A,'Loan Out'!I:I)),"")</f>
        <v/>
      </c>
      <c r="F165" s="2"/>
    </row>
    <row r="166" spans="1:6">
      <c r="A166" t="str">
        <f t="shared" si="4"/>
        <v/>
      </c>
      <c r="C166" t="str">
        <f t="shared" si="5"/>
        <v/>
      </c>
      <c r="D166" t="str">
        <f>IF(C166&lt;&gt;"",(_xlfn.XLOOKUP(C166,'Loan Out'!A:A,'Loan Out'!B:B)),"")</f>
        <v/>
      </c>
      <c r="E166" t="str">
        <f>IF(B166&lt;&gt;"",(_xlfn.XLOOKUP(C166,'Loan Out'!A:A,'Loan Out'!I:I)),"")</f>
        <v/>
      </c>
      <c r="F166" s="2"/>
    </row>
    <row r="167" spans="1:6">
      <c r="A167" t="str">
        <f t="shared" si="4"/>
        <v/>
      </c>
      <c r="C167" t="str">
        <f t="shared" si="5"/>
        <v/>
      </c>
      <c r="D167" t="str">
        <f>IF(C167&lt;&gt;"",(_xlfn.XLOOKUP(C167,'Loan Out'!A:A,'Loan Out'!B:B)),"")</f>
        <v/>
      </c>
      <c r="E167" t="str">
        <f>IF(B167&lt;&gt;"",(_xlfn.XLOOKUP(C167,'Loan Out'!A:A,'Loan Out'!I:I)),"")</f>
        <v/>
      </c>
      <c r="F167" s="2"/>
    </row>
    <row r="168" spans="1:6">
      <c r="A168" t="str">
        <f t="shared" si="4"/>
        <v/>
      </c>
      <c r="C168" t="str">
        <f t="shared" si="5"/>
        <v/>
      </c>
      <c r="D168" t="str">
        <f>IF(C168&lt;&gt;"",(_xlfn.XLOOKUP(C168,'Loan Out'!A:A,'Loan Out'!B:B)),"")</f>
        <v/>
      </c>
      <c r="E168" t="str">
        <f>IF(B168&lt;&gt;"",(_xlfn.XLOOKUP(C168,'Loan Out'!A:A,'Loan Out'!I:I)),"")</f>
        <v/>
      </c>
      <c r="F168" s="2"/>
    </row>
    <row r="169" spans="1:6">
      <c r="A169" t="str">
        <f t="shared" si="4"/>
        <v/>
      </c>
      <c r="C169" t="str">
        <f t="shared" si="5"/>
        <v/>
      </c>
      <c r="D169" t="str">
        <f>IF(C169&lt;&gt;"",(_xlfn.XLOOKUP(C169,'Loan Out'!A:A,'Loan Out'!B:B)),"")</f>
        <v/>
      </c>
      <c r="E169" t="str">
        <f>IF(B169&lt;&gt;"",(_xlfn.XLOOKUP(C169,'Loan Out'!A:A,'Loan Out'!I:I)),"")</f>
        <v/>
      </c>
      <c r="F169" s="2"/>
    </row>
    <row r="170" spans="1:6">
      <c r="A170" t="str">
        <f t="shared" si="4"/>
        <v/>
      </c>
      <c r="C170" t="str">
        <f t="shared" si="5"/>
        <v/>
      </c>
      <c r="D170" t="str">
        <f>IF(C170&lt;&gt;"",(_xlfn.XLOOKUP(C170,'Loan Out'!A:A,'Loan Out'!B:B)),"")</f>
        <v/>
      </c>
      <c r="E170" t="str">
        <f>IF(B170&lt;&gt;"",(_xlfn.XLOOKUP(C170,'Loan Out'!A:A,'Loan Out'!I:I)),"")</f>
        <v/>
      </c>
      <c r="F170" s="2"/>
    </row>
    <row r="171" spans="1:6">
      <c r="A171" t="str">
        <f t="shared" si="4"/>
        <v/>
      </c>
      <c r="C171" t="str">
        <f t="shared" si="5"/>
        <v/>
      </c>
      <c r="D171" t="str">
        <f>IF(C171&lt;&gt;"",(_xlfn.XLOOKUP(C171,'Loan Out'!A:A,'Loan Out'!B:B)),"")</f>
        <v/>
      </c>
      <c r="E171" t="str">
        <f>IF(B171&lt;&gt;"",(_xlfn.XLOOKUP(C171,'Loan Out'!A:A,'Loan Out'!I:I)),"")</f>
        <v/>
      </c>
      <c r="F171" s="2"/>
    </row>
    <row r="172" spans="1:6">
      <c r="A172" t="str">
        <f t="shared" si="4"/>
        <v/>
      </c>
      <c r="C172" t="str">
        <f t="shared" si="5"/>
        <v/>
      </c>
      <c r="D172" t="str">
        <f>IF(C172&lt;&gt;"",(_xlfn.XLOOKUP(C172,'Loan Out'!A:A,'Loan Out'!B:B)),"")</f>
        <v/>
      </c>
      <c r="E172" t="str">
        <f>IF(B172&lt;&gt;"",(_xlfn.XLOOKUP(C172,'Loan Out'!A:A,'Loan Out'!I:I)),"")</f>
        <v/>
      </c>
      <c r="F172" s="2"/>
    </row>
    <row r="173" spans="1:6">
      <c r="A173" t="str">
        <f t="shared" si="4"/>
        <v/>
      </c>
      <c r="C173" t="str">
        <f t="shared" si="5"/>
        <v/>
      </c>
      <c r="D173" t="str">
        <f>IF(C173&lt;&gt;"",(_xlfn.XLOOKUP(C173,'Loan Out'!A:A,'Loan Out'!B:B)),"")</f>
        <v/>
      </c>
      <c r="E173" t="str">
        <f>IF(B173&lt;&gt;"",(_xlfn.XLOOKUP(C173,'Loan Out'!A:A,'Loan Out'!I:I)),"")</f>
        <v/>
      </c>
      <c r="F173" s="2"/>
    </row>
    <row r="174" spans="1:6">
      <c r="A174" t="str">
        <f t="shared" si="4"/>
        <v/>
      </c>
      <c r="C174" t="str">
        <f t="shared" si="5"/>
        <v/>
      </c>
      <c r="D174" t="str">
        <f>IF(C174&lt;&gt;"",(_xlfn.XLOOKUP(C174,'Loan Out'!A:A,'Loan Out'!B:B)),"")</f>
        <v/>
      </c>
      <c r="E174" t="str">
        <f>IF(B174&lt;&gt;"",(_xlfn.XLOOKUP(C174,'Loan Out'!A:A,'Loan Out'!I:I)),"")</f>
        <v/>
      </c>
      <c r="F174" s="2"/>
    </row>
    <row r="175" spans="1:6">
      <c r="A175" t="str">
        <f t="shared" si="4"/>
        <v/>
      </c>
      <c r="C175" t="str">
        <f t="shared" si="5"/>
        <v/>
      </c>
      <c r="D175" t="str">
        <f>IF(C175&lt;&gt;"",(_xlfn.XLOOKUP(C175,'Loan Out'!A:A,'Loan Out'!B:B)),"")</f>
        <v/>
      </c>
      <c r="E175" t="str">
        <f>IF(B175&lt;&gt;"",(_xlfn.XLOOKUP(C175,'Loan Out'!A:A,'Loan Out'!I:I)),"")</f>
        <v/>
      </c>
      <c r="F175" s="2"/>
    </row>
    <row r="176" spans="1:6">
      <c r="A176" t="str">
        <f t="shared" si="4"/>
        <v/>
      </c>
      <c r="C176" t="str">
        <f t="shared" si="5"/>
        <v/>
      </c>
      <c r="D176" t="str">
        <f>IF(C176&lt;&gt;"",(_xlfn.XLOOKUP(C176,'Loan Out'!A:A,'Loan Out'!B:B)),"")</f>
        <v/>
      </c>
      <c r="E176" t="str">
        <f>IF(B176&lt;&gt;"",(_xlfn.XLOOKUP(C176,'Loan Out'!A:A,'Loan Out'!I:I)),"")</f>
        <v/>
      </c>
      <c r="F176" s="2"/>
    </row>
    <row r="177" spans="1:6">
      <c r="A177" t="str">
        <f t="shared" si="4"/>
        <v/>
      </c>
      <c r="C177" t="str">
        <f t="shared" si="5"/>
        <v/>
      </c>
      <c r="D177" t="str">
        <f>IF(C177&lt;&gt;"",(_xlfn.XLOOKUP(C177,'Loan Out'!A:A,'Loan Out'!B:B)),"")</f>
        <v/>
      </c>
      <c r="E177" t="str">
        <f>IF(B177&lt;&gt;"",(_xlfn.XLOOKUP(C177,'Loan Out'!A:A,'Loan Out'!I:I)),"")</f>
        <v/>
      </c>
      <c r="F177" s="2"/>
    </row>
    <row r="178" spans="1:6">
      <c r="A178" t="str">
        <f t="shared" si="4"/>
        <v/>
      </c>
      <c r="C178" t="str">
        <f t="shared" si="5"/>
        <v/>
      </c>
      <c r="D178" t="str">
        <f>IF(C178&lt;&gt;"",(_xlfn.XLOOKUP(C178,'Loan Out'!A:A,'Loan Out'!B:B)),"")</f>
        <v/>
      </c>
      <c r="E178" t="str">
        <f>IF(B178&lt;&gt;"",(_xlfn.XLOOKUP(C178,'Loan Out'!A:A,'Loan Out'!I:I)),"")</f>
        <v/>
      </c>
      <c r="F178" s="2"/>
    </row>
    <row r="179" spans="1:6">
      <c r="A179" t="str">
        <f t="shared" si="4"/>
        <v/>
      </c>
      <c r="C179" t="str">
        <f t="shared" si="5"/>
        <v/>
      </c>
      <c r="D179" t="str">
        <f>IF(C179&lt;&gt;"",(_xlfn.XLOOKUP(C179,'Loan Out'!A:A,'Loan Out'!B:B)),"")</f>
        <v/>
      </c>
      <c r="E179" t="str">
        <f>IF(B179&lt;&gt;"",(_xlfn.XLOOKUP(C179,'Loan Out'!A:A,'Loan Out'!I:I)),"")</f>
        <v/>
      </c>
      <c r="F179" s="2"/>
    </row>
    <row r="180" spans="1:6">
      <c r="A180" t="str">
        <f t="shared" si="4"/>
        <v/>
      </c>
      <c r="C180" t="str">
        <f t="shared" si="5"/>
        <v/>
      </c>
      <c r="D180" t="str">
        <f>IF(C180&lt;&gt;"",(_xlfn.XLOOKUP(C180,'Loan Out'!A:A,'Loan Out'!B:B)),"")</f>
        <v/>
      </c>
      <c r="E180" t="str">
        <f>IF(B180&lt;&gt;"",(_xlfn.XLOOKUP(C180,'Loan Out'!A:A,'Loan Out'!I:I)),"")</f>
        <v/>
      </c>
      <c r="F180" s="2"/>
    </row>
    <row r="181" spans="1:6">
      <c r="A181" t="str">
        <f t="shared" si="4"/>
        <v/>
      </c>
      <c r="C181" t="str">
        <f t="shared" si="5"/>
        <v/>
      </c>
      <c r="D181" t="str">
        <f>IF(C181&lt;&gt;"",(_xlfn.XLOOKUP(C181,'Loan Out'!A:A,'Loan Out'!B:B)),"")</f>
        <v/>
      </c>
      <c r="E181" t="str">
        <f>IF(B181&lt;&gt;"",(_xlfn.XLOOKUP(C181,'Loan Out'!A:A,'Loan Out'!I:I)),"")</f>
        <v/>
      </c>
      <c r="F181" s="2"/>
    </row>
    <row r="182" spans="1:6">
      <c r="A182" t="str">
        <f t="shared" si="4"/>
        <v/>
      </c>
      <c r="C182" t="str">
        <f t="shared" si="5"/>
        <v/>
      </c>
      <c r="D182" t="str">
        <f>IF(C182&lt;&gt;"",(_xlfn.XLOOKUP(C182,'Loan Out'!A:A,'Loan Out'!B:B)),"")</f>
        <v/>
      </c>
      <c r="E182" t="str">
        <f>IF(B182&lt;&gt;"",(_xlfn.XLOOKUP(C182,'Loan Out'!A:A,'Loan Out'!I:I)),"")</f>
        <v/>
      </c>
      <c r="F182" s="2"/>
    </row>
    <row r="183" spans="1:6">
      <c r="A183" t="str">
        <f t="shared" si="4"/>
        <v/>
      </c>
      <c r="C183" t="str">
        <f t="shared" si="5"/>
        <v/>
      </c>
      <c r="D183" t="str">
        <f>IF(C183&lt;&gt;"",(_xlfn.XLOOKUP(C183,'Loan Out'!A:A,'Loan Out'!B:B)),"")</f>
        <v/>
      </c>
      <c r="E183" t="str">
        <f>IF(B183&lt;&gt;"",(_xlfn.XLOOKUP(C183,'Loan Out'!A:A,'Loan Out'!I:I)),"")</f>
        <v/>
      </c>
      <c r="F183" s="2"/>
    </row>
    <row r="184" spans="1:6">
      <c r="A184" t="str">
        <f t="shared" si="4"/>
        <v/>
      </c>
      <c r="C184" t="str">
        <f t="shared" si="5"/>
        <v/>
      </c>
      <c r="D184" t="str">
        <f>IF(C184&lt;&gt;"",(_xlfn.XLOOKUP(C184,'Loan Out'!A:A,'Loan Out'!B:B)),"")</f>
        <v/>
      </c>
      <c r="E184" t="str">
        <f>IF(B184&lt;&gt;"",(_xlfn.XLOOKUP(C184,'Loan Out'!A:A,'Loan Out'!I:I)),"")</f>
        <v/>
      </c>
      <c r="F184" s="2"/>
    </row>
    <row r="185" spans="1:6">
      <c r="A185" t="str">
        <f t="shared" si="4"/>
        <v/>
      </c>
      <c r="C185" t="str">
        <f t="shared" si="5"/>
        <v/>
      </c>
      <c r="D185" t="str">
        <f>IF(C185&lt;&gt;"",(_xlfn.XLOOKUP(C185,'Loan Out'!A:A,'Loan Out'!B:B)),"")</f>
        <v/>
      </c>
      <c r="E185" t="str">
        <f>IF(B185&lt;&gt;"",(_xlfn.XLOOKUP(C185,'Loan Out'!A:A,'Loan Out'!I:I)),"")</f>
        <v/>
      </c>
      <c r="F185" s="2"/>
    </row>
    <row r="186" spans="1:6">
      <c r="A186" t="str">
        <f t="shared" si="4"/>
        <v/>
      </c>
      <c r="C186" t="str">
        <f t="shared" si="5"/>
        <v/>
      </c>
      <c r="D186" t="str">
        <f>IF(C186&lt;&gt;"",(_xlfn.XLOOKUP(C186,'Loan Out'!A:A,'Loan Out'!B:B)),"")</f>
        <v/>
      </c>
      <c r="E186" t="str">
        <f>IF(B186&lt;&gt;"",(_xlfn.XLOOKUP(C186,'Loan Out'!A:A,'Loan Out'!I:I)),"")</f>
        <v/>
      </c>
      <c r="F186" s="2"/>
    </row>
    <row r="187" spans="1:6">
      <c r="A187" t="str">
        <f t="shared" si="4"/>
        <v/>
      </c>
      <c r="C187" t="str">
        <f t="shared" si="5"/>
        <v/>
      </c>
      <c r="D187" t="str">
        <f>IF(C187&lt;&gt;"",(_xlfn.XLOOKUP(C187,'Loan Out'!A:A,'Loan Out'!B:B)),"")</f>
        <v/>
      </c>
      <c r="E187" t="str">
        <f>IF(B187&lt;&gt;"",(_xlfn.XLOOKUP(C187,'Loan Out'!A:A,'Loan Out'!I:I)),"")</f>
        <v/>
      </c>
      <c r="F187" s="2"/>
    </row>
    <row r="188" spans="1:6">
      <c r="A188" t="str">
        <f t="shared" si="4"/>
        <v/>
      </c>
      <c r="C188" t="str">
        <f t="shared" si="5"/>
        <v/>
      </c>
      <c r="D188" t="str">
        <f>IF(C188&lt;&gt;"",(_xlfn.XLOOKUP(C188,'Loan Out'!A:A,'Loan Out'!B:B)),"")</f>
        <v/>
      </c>
      <c r="E188" t="str">
        <f>IF(B188&lt;&gt;"",(_xlfn.XLOOKUP(C188,'Loan Out'!A:A,'Loan Out'!I:I)),"")</f>
        <v/>
      </c>
      <c r="F188" s="2"/>
    </row>
    <row r="189" spans="1:6">
      <c r="A189" t="str">
        <f t="shared" si="4"/>
        <v/>
      </c>
      <c r="C189" t="str">
        <f t="shared" si="5"/>
        <v/>
      </c>
      <c r="D189" t="str">
        <f>IF(C189&lt;&gt;"",(_xlfn.XLOOKUP(C189,'Loan Out'!A:A,'Loan Out'!B:B)),"")</f>
        <v/>
      </c>
      <c r="E189" t="str">
        <f>IF(B189&lt;&gt;"",(_xlfn.XLOOKUP(C189,'Loan Out'!A:A,'Loan Out'!I:I)),"")</f>
        <v/>
      </c>
      <c r="F189" s="2"/>
    </row>
    <row r="190" spans="1:6">
      <c r="A190" t="str">
        <f t="shared" si="4"/>
        <v/>
      </c>
      <c r="C190" t="str">
        <f t="shared" si="5"/>
        <v/>
      </c>
      <c r="D190" t="str">
        <f>IF(C190&lt;&gt;"",(_xlfn.XLOOKUP(C190,'Loan Out'!A:A,'Loan Out'!B:B)),"")</f>
        <v/>
      </c>
      <c r="E190" t="str">
        <f>IF(B190&lt;&gt;"",(_xlfn.XLOOKUP(C190,'Loan Out'!A:A,'Loan Out'!I:I)),"")</f>
        <v/>
      </c>
      <c r="F190" s="2"/>
    </row>
    <row r="191" spans="1:6">
      <c r="A191" t="str">
        <f t="shared" si="4"/>
        <v/>
      </c>
      <c r="C191" t="str">
        <f t="shared" si="5"/>
        <v/>
      </c>
      <c r="D191" t="str">
        <f>IF(C191&lt;&gt;"",(_xlfn.XLOOKUP(C191,'Loan Out'!A:A,'Loan Out'!B:B)),"")</f>
        <v/>
      </c>
      <c r="E191" t="str">
        <f>IF(B191&lt;&gt;"",(_xlfn.XLOOKUP(C191,'Loan Out'!A:A,'Loan Out'!I:I)),"")</f>
        <v/>
      </c>
      <c r="F191" s="2"/>
    </row>
    <row r="192" spans="1:6">
      <c r="A192" t="str">
        <f t="shared" si="4"/>
        <v/>
      </c>
      <c r="C192" t="str">
        <f t="shared" si="5"/>
        <v/>
      </c>
      <c r="D192" t="str">
        <f>IF(C192&lt;&gt;"",(_xlfn.XLOOKUP(C192,'Loan Out'!A:A,'Loan Out'!B:B)),"")</f>
        <v/>
      </c>
      <c r="E192" t="str">
        <f>IF(B192&lt;&gt;"",(_xlfn.XLOOKUP(C192,'Loan Out'!A:A,'Loan Out'!I:I)),"")</f>
        <v/>
      </c>
      <c r="F192" s="2"/>
    </row>
    <row r="193" spans="1:6">
      <c r="A193" t="str">
        <f t="shared" si="4"/>
        <v/>
      </c>
      <c r="C193" t="str">
        <f t="shared" si="5"/>
        <v/>
      </c>
      <c r="D193" t="str">
        <f>IF(C193&lt;&gt;"",(_xlfn.XLOOKUP(C193,'Loan Out'!A:A,'Loan Out'!B:B)),"")</f>
        <v/>
      </c>
      <c r="E193" t="str">
        <f>IF(B193&lt;&gt;"",(_xlfn.XLOOKUP(C193,'Loan Out'!A:A,'Loan Out'!I:I)),"")</f>
        <v/>
      </c>
      <c r="F193" s="2"/>
    </row>
    <row r="194" spans="1:6">
      <c r="A194" t="str">
        <f t="shared" si="4"/>
        <v/>
      </c>
      <c r="C194" t="str">
        <f t="shared" si="5"/>
        <v/>
      </c>
      <c r="D194" t="str">
        <f>IF(C194&lt;&gt;"",(_xlfn.XLOOKUP(C194,'Loan Out'!A:A,'Loan Out'!B:B)),"")</f>
        <v/>
      </c>
      <c r="E194" t="str">
        <f>IF(B194&lt;&gt;"",(_xlfn.XLOOKUP(C194,'Loan Out'!A:A,'Loan Out'!I:I)),"")</f>
        <v/>
      </c>
      <c r="F194" s="2"/>
    </row>
    <row r="195" spans="1:6">
      <c r="A195" t="str">
        <f t="shared" ref="A195:A220" si="6">IF(B195&lt;&gt;"","P"&amp;ROW()-1,"")</f>
        <v/>
      </c>
      <c r="C195" t="str">
        <f t="shared" ref="C195:C250" si="7">IF(B195&lt;&gt;"",(LEFT(B195,FIND(" |",B195)-1)),"")</f>
        <v/>
      </c>
      <c r="D195" t="str">
        <f>IF(C195&lt;&gt;"",(_xlfn.XLOOKUP(C195,'Loan Out'!A:A,'Loan Out'!B:B)),"")</f>
        <v/>
      </c>
      <c r="E195" t="str">
        <f>IF(B195&lt;&gt;"",(_xlfn.XLOOKUP(C195,'Loan Out'!A:A,'Loan Out'!I:I)),"")</f>
        <v/>
      </c>
      <c r="F195" s="2"/>
    </row>
    <row r="196" spans="1:6">
      <c r="A196" t="str">
        <f t="shared" si="6"/>
        <v/>
      </c>
      <c r="C196" t="str">
        <f t="shared" si="7"/>
        <v/>
      </c>
      <c r="D196" t="str">
        <f>IF(C196&lt;&gt;"",(_xlfn.XLOOKUP(C196,'Loan Out'!A:A,'Loan Out'!B:B)),"")</f>
        <v/>
      </c>
      <c r="E196" t="str">
        <f>IF(B196&lt;&gt;"",(_xlfn.XLOOKUP(C196,'Loan Out'!A:A,'Loan Out'!I:I)),"")</f>
        <v/>
      </c>
      <c r="F196" s="2"/>
    </row>
    <row r="197" spans="1:6">
      <c r="A197" t="str">
        <f t="shared" si="6"/>
        <v/>
      </c>
      <c r="C197" t="str">
        <f t="shared" si="7"/>
        <v/>
      </c>
      <c r="D197" t="str">
        <f>IF(C197&lt;&gt;"",(_xlfn.XLOOKUP(C197,'Loan Out'!A:A,'Loan Out'!B:B)),"")</f>
        <v/>
      </c>
      <c r="E197" t="str">
        <f>IF(B197&lt;&gt;"",(_xlfn.XLOOKUP(C197,'Loan Out'!A:A,'Loan Out'!I:I)),"")</f>
        <v/>
      </c>
      <c r="F197" s="2"/>
    </row>
    <row r="198" spans="1:6">
      <c r="A198" t="str">
        <f t="shared" si="6"/>
        <v/>
      </c>
      <c r="C198" t="str">
        <f t="shared" si="7"/>
        <v/>
      </c>
      <c r="D198" t="str">
        <f>IF(C198&lt;&gt;"",(_xlfn.XLOOKUP(C198,'Loan Out'!A:A,'Loan Out'!B:B)),"")</f>
        <v/>
      </c>
      <c r="E198" t="str">
        <f>IF(B198&lt;&gt;"",(_xlfn.XLOOKUP(C198,'Loan Out'!A:A,'Loan Out'!I:I)),"")</f>
        <v/>
      </c>
      <c r="F198" s="2"/>
    </row>
    <row r="199" spans="1:6">
      <c r="A199" t="str">
        <f t="shared" si="6"/>
        <v/>
      </c>
      <c r="C199" t="str">
        <f t="shared" si="7"/>
        <v/>
      </c>
      <c r="D199" t="str">
        <f>IF(C199&lt;&gt;"",(_xlfn.XLOOKUP(C199,'Loan Out'!A:A,'Loan Out'!B:B)),"")</f>
        <v/>
      </c>
      <c r="E199" t="str">
        <f>IF(B199&lt;&gt;"",(_xlfn.XLOOKUP(C199,'Loan Out'!A:A,'Loan Out'!I:I)),"")</f>
        <v/>
      </c>
      <c r="F199" s="2"/>
    </row>
    <row r="200" spans="1:6">
      <c r="A200" t="str">
        <f t="shared" si="6"/>
        <v/>
      </c>
      <c r="C200" t="str">
        <f t="shared" si="7"/>
        <v/>
      </c>
      <c r="D200" t="str">
        <f>IF(C200&lt;&gt;"",(_xlfn.XLOOKUP(C200,'Loan Out'!A:A,'Loan Out'!B:B)),"")</f>
        <v/>
      </c>
      <c r="E200" t="str">
        <f>IF(B200&lt;&gt;"",(_xlfn.XLOOKUP(C200,'Loan Out'!A:A,'Loan Out'!I:I)),"")</f>
        <v/>
      </c>
      <c r="F200" s="2"/>
    </row>
    <row r="201" spans="1:6">
      <c r="A201" t="str">
        <f t="shared" si="6"/>
        <v/>
      </c>
      <c r="C201" t="str">
        <f t="shared" si="7"/>
        <v/>
      </c>
      <c r="D201" t="str">
        <f>IF(C201&lt;&gt;"",(_xlfn.XLOOKUP(C201,'Loan Out'!A:A,'Loan Out'!B:B)),"")</f>
        <v/>
      </c>
      <c r="E201" t="str">
        <f>IF(B201&lt;&gt;"",(_xlfn.XLOOKUP(C201,'Loan Out'!A:A,'Loan Out'!I:I)),"")</f>
        <v/>
      </c>
      <c r="F201" s="2"/>
    </row>
    <row r="202" spans="1:6">
      <c r="A202" t="str">
        <f t="shared" si="6"/>
        <v/>
      </c>
      <c r="C202" t="str">
        <f t="shared" si="7"/>
        <v/>
      </c>
      <c r="D202" t="str">
        <f>IF(C202&lt;&gt;"",(_xlfn.XLOOKUP(C202,'Loan Out'!A:A,'Loan Out'!B:B)),"")</f>
        <v/>
      </c>
      <c r="E202" t="str">
        <f>IF(B202&lt;&gt;"",(_xlfn.XLOOKUP(C202,'Loan Out'!A:A,'Loan Out'!I:I)),"")</f>
        <v/>
      </c>
      <c r="F202" s="2"/>
    </row>
    <row r="203" spans="1:6">
      <c r="A203" t="str">
        <f t="shared" si="6"/>
        <v/>
      </c>
      <c r="C203" t="str">
        <f t="shared" si="7"/>
        <v/>
      </c>
      <c r="D203" t="str">
        <f>IF(C203&lt;&gt;"",(_xlfn.XLOOKUP(C203,'Loan Out'!A:A,'Loan Out'!B:B)),"")</f>
        <v/>
      </c>
      <c r="E203" t="str">
        <f>IF(B203&lt;&gt;"",(_xlfn.XLOOKUP(C203,'Loan Out'!A:A,'Loan Out'!I:I)),"")</f>
        <v/>
      </c>
      <c r="F203" s="2"/>
    </row>
    <row r="204" spans="1:6">
      <c r="A204" t="str">
        <f t="shared" si="6"/>
        <v/>
      </c>
      <c r="C204" t="str">
        <f t="shared" si="7"/>
        <v/>
      </c>
      <c r="D204" t="str">
        <f>IF(C204&lt;&gt;"",(_xlfn.XLOOKUP(C204,'Loan Out'!A:A,'Loan Out'!B:B)),"")</f>
        <v/>
      </c>
      <c r="E204" t="str">
        <f>IF(B204&lt;&gt;"",(_xlfn.XLOOKUP(C204,'Loan Out'!A:A,'Loan Out'!I:I)),"")</f>
        <v/>
      </c>
      <c r="F204" s="2"/>
    </row>
    <row r="205" spans="1:6">
      <c r="A205" t="str">
        <f t="shared" si="6"/>
        <v/>
      </c>
      <c r="C205" t="str">
        <f t="shared" si="7"/>
        <v/>
      </c>
      <c r="D205" t="str">
        <f>IF(C205&lt;&gt;"",(_xlfn.XLOOKUP(C205,'Loan Out'!A:A,'Loan Out'!B:B)),"")</f>
        <v/>
      </c>
      <c r="E205" t="str">
        <f>IF(B205&lt;&gt;"",(_xlfn.XLOOKUP(C205,'Loan Out'!A:A,'Loan Out'!I:I)),"")</f>
        <v/>
      </c>
      <c r="F205" s="2"/>
    </row>
    <row r="206" spans="1:6">
      <c r="A206" t="str">
        <f t="shared" si="6"/>
        <v/>
      </c>
      <c r="C206" t="str">
        <f t="shared" si="7"/>
        <v/>
      </c>
      <c r="D206" t="str">
        <f>IF(C206&lt;&gt;"",(_xlfn.XLOOKUP(C206,'Loan Out'!A:A,'Loan Out'!B:B)),"")</f>
        <v/>
      </c>
      <c r="E206" t="str">
        <f>IF(B206&lt;&gt;"",(_xlfn.XLOOKUP(C206,'Loan Out'!A:A,'Loan Out'!I:I)),"")</f>
        <v/>
      </c>
      <c r="F206" s="2"/>
    </row>
    <row r="207" spans="1:6">
      <c r="A207" t="str">
        <f t="shared" si="6"/>
        <v/>
      </c>
      <c r="C207" t="str">
        <f t="shared" si="7"/>
        <v/>
      </c>
      <c r="D207" t="str">
        <f>IF(C207&lt;&gt;"",(_xlfn.XLOOKUP(C207,'Loan Out'!A:A,'Loan Out'!B:B)),"")</f>
        <v/>
      </c>
      <c r="E207" t="str">
        <f>IF(B207&lt;&gt;"",(_xlfn.XLOOKUP(C207,'Loan Out'!A:A,'Loan Out'!I:I)),"")</f>
        <v/>
      </c>
      <c r="F207" s="2"/>
    </row>
    <row r="208" spans="1:6">
      <c r="A208" t="str">
        <f t="shared" si="6"/>
        <v/>
      </c>
      <c r="C208" t="str">
        <f t="shared" si="7"/>
        <v/>
      </c>
      <c r="D208" t="str">
        <f>IF(C208&lt;&gt;"",(_xlfn.XLOOKUP(C208,'Loan Out'!A:A,'Loan Out'!B:B)),"")</f>
        <v/>
      </c>
      <c r="E208" t="str">
        <f>IF(B208&lt;&gt;"",(_xlfn.XLOOKUP(C208,'Loan Out'!A:A,'Loan Out'!I:I)),"")</f>
        <v/>
      </c>
      <c r="F208" s="2"/>
    </row>
    <row r="209" spans="1:6">
      <c r="A209" t="str">
        <f t="shared" si="6"/>
        <v/>
      </c>
      <c r="C209" t="str">
        <f t="shared" si="7"/>
        <v/>
      </c>
      <c r="D209" t="str">
        <f>IF(C209&lt;&gt;"",(_xlfn.XLOOKUP(C209,'Loan Out'!A:A,'Loan Out'!B:B)),"")</f>
        <v/>
      </c>
      <c r="E209" t="str">
        <f>IF(B209&lt;&gt;"",(_xlfn.XLOOKUP(C209,'Loan Out'!A:A,'Loan Out'!I:I)),"")</f>
        <v/>
      </c>
      <c r="F209" s="2"/>
    </row>
    <row r="210" spans="1:6">
      <c r="A210" t="str">
        <f t="shared" si="6"/>
        <v/>
      </c>
      <c r="C210" t="str">
        <f t="shared" si="7"/>
        <v/>
      </c>
      <c r="D210" t="str">
        <f>IF(C210&lt;&gt;"",(_xlfn.XLOOKUP(C210,'Loan Out'!A:A,'Loan Out'!B:B)),"")</f>
        <v/>
      </c>
      <c r="E210" t="str">
        <f>IF(B210&lt;&gt;"",(_xlfn.XLOOKUP(C210,'Loan Out'!A:A,'Loan Out'!I:I)),"")</f>
        <v/>
      </c>
      <c r="F210" s="2"/>
    </row>
    <row r="211" spans="1:6">
      <c r="A211" t="str">
        <f t="shared" si="6"/>
        <v/>
      </c>
      <c r="C211" t="str">
        <f t="shared" si="7"/>
        <v/>
      </c>
      <c r="D211" t="str">
        <f>IF(C211&lt;&gt;"",(_xlfn.XLOOKUP(C211,'Loan Out'!A:A,'Loan Out'!B:B)),"")</f>
        <v/>
      </c>
      <c r="E211" t="str">
        <f>IF(B211&lt;&gt;"",(_xlfn.XLOOKUP(C211,'Loan Out'!A:A,'Loan Out'!I:I)),"")</f>
        <v/>
      </c>
      <c r="F211" s="2"/>
    </row>
    <row r="212" spans="1:6">
      <c r="A212" t="str">
        <f t="shared" si="6"/>
        <v/>
      </c>
      <c r="C212" t="str">
        <f t="shared" si="7"/>
        <v/>
      </c>
      <c r="D212" t="str">
        <f>IF(C212&lt;&gt;"",(_xlfn.XLOOKUP(C212,'Loan Out'!A:A,'Loan Out'!B:B)),"")</f>
        <v/>
      </c>
      <c r="E212" t="str">
        <f>IF(B212&lt;&gt;"",(_xlfn.XLOOKUP(C212,'Loan Out'!A:A,'Loan Out'!I:I)),"")</f>
        <v/>
      </c>
      <c r="F212" s="2"/>
    </row>
    <row r="213" spans="1:6">
      <c r="A213" t="str">
        <f t="shared" si="6"/>
        <v/>
      </c>
      <c r="C213" t="str">
        <f t="shared" si="7"/>
        <v/>
      </c>
      <c r="D213" t="str">
        <f>IF(C213&lt;&gt;"",(_xlfn.XLOOKUP(C213,'Loan Out'!A:A,'Loan Out'!B:B)),"")</f>
        <v/>
      </c>
      <c r="E213" t="str">
        <f>IF(B213&lt;&gt;"",(_xlfn.XLOOKUP(C213,'Loan Out'!A:A,'Loan Out'!I:I)),"")</f>
        <v/>
      </c>
      <c r="F213" s="2"/>
    </row>
    <row r="214" spans="1:6">
      <c r="A214" t="str">
        <f t="shared" si="6"/>
        <v/>
      </c>
      <c r="C214" t="str">
        <f t="shared" si="7"/>
        <v/>
      </c>
      <c r="D214" t="str">
        <f>IF(C214&lt;&gt;"",(_xlfn.XLOOKUP(C214,'Loan Out'!A:A,'Loan Out'!B:B)),"")</f>
        <v/>
      </c>
      <c r="E214" t="str">
        <f>IF(B214&lt;&gt;"",(_xlfn.XLOOKUP(C214,'Loan Out'!A:A,'Loan Out'!I:I)),"")</f>
        <v/>
      </c>
      <c r="F214" s="2"/>
    </row>
    <row r="215" spans="1:6">
      <c r="A215" t="str">
        <f t="shared" si="6"/>
        <v/>
      </c>
      <c r="C215" t="str">
        <f t="shared" si="7"/>
        <v/>
      </c>
      <c r="D215" t="str">
        <f>IF(C215&lt;&gt;"",(_xlfn.XLOOKUP(C215,'Loan Out'!A:A,'Loan Out'!B:B)),"")</f>
        <v/>
      </c>
      <c r="E215" t="str">
        <f>IF(B215&lt;&gt;"",(_xlfn.XLOOKUP(C215,'Loan Out'!A:A,'Loan Out'!I:I)),"")</f>
        <v/>
      </c>
      <c r="F215" s="2"/>
    </row>
    <row r="216" spans="1:6">
      <c r="A216" t="str">
        <f t="shared" si="6"/>
        <v/>
      </c>
      <c r="C216" t="str">
        <f t="shared" si="7"/>
        <v/>
      </c>
      <c r="D216" t="str">
        <f>IF(C216&lt;&gt;"",(_xlfn.XLOOKUP(C216,'Loan Out'!A:A,'Loan Out'!B:B)),"")</f>
        <v/>
      </c>
      <c r="E216" t="str">
        <f>IF(B216&lt;&gt;"",(_xlfn.XLOOKUP(C216,'Loan Out'!A:A,'Loan Out'!I:I)),"")</f>
        <v/>
      </c>
      <c r="F216" s="2"/>
    </row>
    <row r="217" spans="1:6">
      <c r="A217" t="str">
        <f t="shared" si="6"/>
        <v/>
      </c>
      <c r="C217" t="str">
        <f t="shared" si="7"/>
        <v/>
      </c>
      <c r="D217" t="str">
        <f>IF(C217&lt;&gt;"",(_xlfn.XLOOKUP(C217,'Loan Out'!A:A,'Loan Out'!B:B)),"")</f>
        <v/>
      </c>
      <c r="E217" t="str">
        <f>IF(B217&lt;&gt;"",(_xlfn.XLOOKUP(C217,'Loan Out'!A:A,'Loan Out'!I:I)),"")</f>
        <v/>
      </c>
      <c r="F217" s="2"/>
    </row>
    <row r="218" spans="1:6">
      <c r="A218" t="str">
        <f t="shared" si="6"/>
        <v/>
      </c>
      <c r="C218" t="str">
        <f t="shared" si="7"/>
        <v/>
      </c>
      <c r="D218" t="str">
        <f>IF(C218&lt;&gt;"",(_xlfn.XLOOKUP(C218,'Loan Out'!A:A,'Loan Out'!B:B)),"")</f>
        <v/>
      </c>
      <c r="E218" t="str">
        <f>IF(B218&lt;&gt;"",(_xlfn.XLOOKUP(C218,'Loan Out'!A:A,'Loan Out'!I:I)),"")</f>
        <v/>
      </c>
      <c r="F218" s="2"/>
    </row>
    <row r="219" spans="1:6">
      <c r="A219" t="str">
        <f t="shared" si="6"/>
        <v/>
      </c>
      <c r="C219" t="str">
        <f t="shared" si="7"/>
        <v/>
      </c>
      <c r="D219" t="str">
        <f>IF(C219&lt;&gt;"",(_xlfn.XLOOKUP(C219,'Loan Out'!A:A,'Loan Out'!B:B)),"")</f>
        <v/>
      </c>
      <c r="E219" t="str">
        <f>IF(B219&lt;&gt;"",(_xlfn.XLOOKUP(C219,'Loan Out'!A:A,'Loan Out'!I:I)),"")</f>
        <v/>
      </c>
      <c r="F219" s="2"/>
    </row>
    <row r="220" spans="1:6">
      <c r="A220" t="str">
        <f t="shared" si="6"/>
        <v/>
      </c>
      <c r="C220" t="str">
        <f t="shared" si="7"/>
        <v/>
      </c>
      <c r="D220" t="str">
        <f>IF(C220&lt;&gt;"",(_xlfn.XLOOKUP(C220,'Loan Out'!A:A,'Loan Out'!B:B)),"")</f>
        <v/>
      </c>
      <c r="E220" t="str">
        <f>IF(B220&lt;&gt;"",(_xlfn.XLOOKUP(C220,'Loan Out'!A:A,'Loan Out'!I:I)),"")</f>
        <v/>
      </c>
      <c r="F220" s="2"/>
    </row>
    <row r="221" spans="1:6">
      <c r="A221" t="str">
        <f t="shared" ref="A195:A250" si="8">IF(B221&lt;&gt;"","LN"&amp;ROW()-1,"")</f>
        <v/>
      </c>
      <c r="C221" t="str">
        <f t="shared" si="7"/>
        <v/>
      </c>
      <c r="D221" t="str">
        <f>IF(C221&lt;&gt;"",(_xlfn.XLOOKUP(C221,'Loan Out'!A:A,'Loan Out'!B:B)),"")</f>
        <v/>
      </c>
      <c r="E221" t="str">
        <f>IF(B221&lt;&gt;"",(_xlfn.XLOOKUP(C221,'Loan Out'!A:A,'Loan Out'!I:I)),"")</f>
        <v/>
      </c>
      <c r="F221" s="2"/>
    </row>
    <row r="222" spans="1:6">
      <c r="A222" t="str">
        <f t="shared" si="8"/>
        <v/>
      </c>
      <c r="C222" t="str">
        <f t="shared" si="7"/>
        <v/>
      </c>
      <c r="D222" t="str">
        <f>IF(C222&lt;&gt;"",(_xlfn.XLOOKUP(C222,'Loan Out'!A:A,'Loan Out'!B:B)),"")</f>
        <v/>
      </c>
      <c r="E222" t="str">
        <f>IF(B222&lt;&gt;"",(_xlfn.XLOOKUP(C222,'Loan Out'!A:A,'Loan Out'!I:I)),"")</f>
        <v/>
      </c>
      <c r="F222" s="2"/>
    </row>
    <row r="223" spans="1:6">
      <c r="A223" t="str">
        <f t="shared" si="8"/>
        <v/>
      </c>
      <c r="C223" t="str">
        <f t="shared" si="7"/>
        <v/>
      </c>
      <c r="D223" t="str">
        <f>IF(C223&lt;&gt;"",(_xlfn.XLOOKUP(C223,'Loan Out'!A:A,'Loan Out'!B:B)),"")</f>
        <v/>
      </c>
      <c r="E223" t="str">
        <f>IF(B223&lt;&gt;"",(_xlfn.XLOOKUP(C223,'Loan Out'!A:A,'Loan Out'!I:I)),"")</f>
        <v/>
      </c>
      <c r="F223" s="2"/>
    </row>
    <row r="224" spans="1:6">
      <c r="A224" t="str">
        <f t="shared" si="8"/>
        <v/>
      </c>
      <c r="C224" t="str">
        <f t="shared" si="7"/>
        <v/>
      </c>
      <c r="D224" t="str">
        <f>IF(C224&lt;&gt;"",(_xlfn.XLOOKUP(C224,'Loan Out'!A:A,'Loan Out'!B:B)),"")</f>
        <v/>
      </c>
      <c r="E224" t="str">
        <f>IF(B224&lt;&gt;"",(_xlfn.XLOOKUP(C224,'Loan Out'!A:A,'Loan Out'!I:I)),"")</f>
        <v/>
      </c>
      <c r="F224" s="2"/>
    </row>
    <row r="225" spans="1:6">
      <c r="A225" t="str">
        <f t="shared" si="8"/>
        <v/>
      </c>
      <c r="C225" t="str">
        <f t="shared" si="7"/>
        <v/>
      </c>
      <c r="D225" t="str">
        <f>IF(C225&lt;&gt;"",(_xlfn.XLOOKUP(C225,'Loan Out'!A:A,'Loan Out'!B:B)),"")</f>
        <v/>
      </c>
      <c r="E225" t="str">
        <f>IF(B225&lt;&gt;"",(_xlfn.XLOOKUP(C225,'Loan Out'!A:A,'Loan Out'!I:I)),"")</f>
        <v/>
      </c>
      <c r="F225" s="2"/>
    </row>
    <row r="226" spans="1:6">
      <c r="A226" t="str">
        <f t="shared" si="8"/>
        <v/>
      </c>
      <c r="C226" t="str">
        <f t="shared" si="7"/>
        <v/>
      </c>
      <c r="D226" t="str">
        <f>IF(C226&lt;&gt;"",(_xlfn.XLOOKUP(C226,'Loan Out'!A:A,'Loan Out'!B:B)),"")</f>
        <v/>
      </c>
      <c r="E226" t="str">
        <f>IF(B226&lt;&gt;"",(_xlfn.XLOOKUP(C226,'Loan Out'!A:A,'Loan Out'!I:I)),"")</f>
        <v/>
      </c>
      <c r="F226" s="2"/>
    </row>
    <row r="227" spans="1:6">
      <c r="A227" t="str">
        <f t="shared" si="8"/>
        <v/>
      </c>
      <c r="C227" t="str">
        <f t="shared" si="7"/>
        <v/>
      </c>
      <c r="D227" t="str">
        <f>IF(C227&lt;&gt;"",(_xlfn.XLOOKUP(C227,'Loan Out'!A:A,'Loan Out'!B:B)),"")</f>
        <v/>
      </c>
      <c r="E227" t="str">
        <f>IF(B227&lt;&gt;"",(_xlfn.XLOOKUP(C227,'Loan Out'!A:A,'Loan Out'!I:I)),"")</f>
        <v/>
      </c>
      <c r="F227" s="2"/>
    </row>
    <row r="228" spans="1:6">
      <c r="A228" t="str">
        <f t="shared" si="8"/>
        <v/>
      </c>
      <c r="C228" t="str">
        <f t="shared" si="7"/>
        <v/>
      </c>
      <c r="D228" t="str">
        <f>IF(C228&lt;&gt;"",(_xlfn.XLOOKUP(C228,'Loan Out'!A:A,'Loan Out'!B:B)),"")</f>
        <v/>
      </c>
      <c r="E228" t="str">
        <f>IF(B228&lt;&gt;"",(_xlfn.XLOOKUP(C228,'Loan Out'!A:A,'Loan Out'!I:I)),"")</f>
        <v/>
      </c>
      <c r="F228" s="2"/>
    </row>
    <row r="229" spans="1:6">
      <c r="A229" t="str">
        <f t="shared" si="8"/>
        <v/>
      </c>
      <c r="C229" t="str">
        <f t="shared" si="7"/>
        <v/>
      </c>
      <c r="D229" t="str">
        <f>IF(C229&lt;&gt;"",(_xlfn.XLOOKUP(C229,'Loan Out'!A:A,'Loan Out'!B:B)),"")</f>
        <v/>
      </c>
      <c r="E229" t="str">
        <f>IF(B229&lt;&gt;"",(_xlfn.XLOOKUP(C229,'Loan Out'!A:A,'Loan Out'!I:I)),"")</f>
        <v/>
      </c>
      <c r="F229" s="2"/>
    </row>
    <row r="230" spans="1:6">
      <c r="A230" t="str">
        <f t="shared" si="8"/>
        <v/>
      </c>
      <c r="C230" t="str">
        <f t="shared" si="7"/>
        <v/>
      </c>
      <c r="D230" t="str">
        <f>IF(C230&lt;&gt;"",(_xlfn.XLOOKUP(C230,'Loan Out'!A:A,'Loan Out'!B:B)),"")</f>
        <v/>
      </c>
      <c r="E230" t="str">
        <f>IF(B230&lt;&gt;"",(_xlfn.XLOOKUP(C230,'Loan Out'!A:A,'Loan Out'!I:I)),"")</f>
        <v/>
      </c>
      <c r="F230" s="2"/>
    </row>
    <row r="231" spans="1:6">
      <c r="A231" t="str">
        <f t="shared" si="8"/>
        <v/>
      </c>
      <c r="C231" t="str">
        <f t="shared" si="7"/>
        <v/>
      </c>
      <c r="D231" t="str">
        <f>IF(C231&lt;&gt;"",(_xlfn.XLOOKUP(C231,'Loan Out'!A:A,'Loan Out'!B:B)),"")</f>
        <v/>
      </c>
      <c r="E231" t="str">
        <f>IF(B231&lt;&gt;"",(_xlfn.XLOOKUP(C231,'Loan Out'!A:A,'Loan Out'!I:I)),"")</f>
        <v/>
      </c>
      <c r="F231" s="2"/>
    </row>
    <row r="232" spans="1:6">
      <c r="A232" t="str">
        <f t="shared" si="8"/>
        <v/>
      </c>
      <c r="C232" t="str">
        <f t="shared" si="7"/>
        <v/>
      </c>
      <c r="D232" t="str">
        <f>IF(C232&lt;&gt;"",(_xlfn.XLOOKUP(C232,'Loan Out'!A:A,'Loan Out'!B:B)),"")</f>
        <v/>
      </c>
      <c r="E232" t="str">
        <f>IF(B232&lt;&gt;"",(_xlfn.XLOOKUP(C232,'Loan Out'!A:A,'Loan Out'!I:I)),"")</f>
        <v/>
      </c>
      <c r="F232" s="2"/>
    </row>
    <row r="233" spans="1:6">
      <c r="A233" t="str">
        <f t="shared" si="8"/>
        <v/>
      </c>
      <c r="C233" t="str">
        <f t="shared" si="7"/>
        <v/>
      </c>
      <c r="D233" t="str">
        <f>IF(C233&lt;&gt;"",(_xlfn.XLOOKUP(C233,'Loan Out'!A:A,'Loan Out'!B:B)),"")</f>
        <v/>
      </c>
      <c r="E233" t="str">
        <f>IF(B233&lt;&gt;"",(_xlfn.XLOOKUP(C233,'Loan Out'!A:A,'Loan Out'!I:I)),"")</f>
        <v/>
      </c>
      <c r="F233" s="2"/>
    </row>
    <row r="234" spans="1:6">
      <c r="A234" t="str">
        <f t="shared" si="8"/>
        <v/>
      </c>
      <c r="C234" t="str">
        <f t="shared" si="7"/>
        <v/>
      </c>
      <c r="D234" t="str">
        <f>IF(C234&lt;&gt;"",(_xlfn.XLOOKUP(C234,'Loan Out'!A:A,'Loan Out'!B:B)),"")</f>
        <v/>
      </c>
      <c r="E234" t="str">
        <f>IF(B234&lt;&gt;"",(_xlfn.XLOOKUP(C234,'Loan Out'!A:A,'Loan Out'!I:I)),"")</f>
        <v/>
      </c>
      <c r="F234" s="2"/>
    </row>
    <row r="235" spans="1:6">
      <c r="A235" t="str">
        <f t="shared" si="8"/>
        <v/>
      </c>
      <c r="C235" t="str">
        <f t="shared" si="7"/>
        <v/>
      </c>
      <c r="D235" t="str">
        <f>IF(C235&lt;&gt;"",(_xlfn.XLOOKUP(C235,'Loan Out'!A:A,'Loan Out'!B:B)),"")</f>
        <v/>
      </c>
      <c r="E235" t="str">
        <f>IF(B235&lt;&gt;"",(_xlfn.XLOOKUP(C235,'Loan Out'!A:A,'Loan Out'!I:I)),"")</f>
        <v/>
      </c>
      <c r="F235" s="2"/>
    </row>
    <row r="236" spans="1:6">
      <c r="A236" t="str">
        <f t="shared" si="8"/>
        <v/>
      </c>
      <c r="C236" t="str">
        <f t="shared" si="7"/>
        <v/>
      </c>
      <c r="D236" t="str">
        <f>IF(C236&lt;&gt;"",(_xlfn.XLOOKUP(C236,'Loan Out'!A:A,'Loan Out'!B:B)),"")</f>
        <v/>
      </c>
      <c r="E236" t="str">
        <f>IF(B236&lt;&gt;"",(_xlfn.XLOOKUP(C236,'Loan Out'!A:A,'Loan Out'!I:I)),"")</f>
        <v/>
      </c>
      <c r="F236" s="2"/>
    </row>
    <row r="237" spans="1:6">
      <c r="A237" t="str">
        <f t="shared" si="8"/>
        <v/>
      </c>
      <c r="C237" t="str">
        <f t="shared" si="7"/>
        <v/>
      </c>
      <c r="D237" t="str">
        <f>IF(C237&lt;&gt;"",(_xlfn.XLOOKUP(C237,'Loan Out'!A:A,'Loan Out'!B:B)),"")</f>
        <v/>
      </c>
      <c r="E237" t="str">
        <f>IF(B237&lt;&gt;"",(_xlfn.XLOOKUP(C237,'Loan Out'!A:A,'Loan Out'!I:I)),"")</f>
        <v/>
      </c>
      <c r="F237" s="2"/>
    </row>
    <row r="238" spans="1:6">
      <c r="A238" t="str">
        <f t="shared" si="8"/>
        <v/>
      </c>
      <c r="C238" t="str">
        <f t="shared" si="7"/>
        <v/>
      </c>
      <c r="D238" t="str">
        <f>IF(C238&lt;&gt;"",(_xlfn.XLOOKUP(C238,'Loan Out'!A:A,'Loan Out'!B:B)),"")</f>
        <v/>
      </c>
      <c r="E238" t="str">
        <f>IF(B238&lt;&gt;"",(_xlfn.XLOOKUP(C238,'Loan Out'!A:A,'Loan Out'!I:I)),"")</f>
        <v/>
      </c>
      <c r="F238" s="2"/>
    </row>
    <row r="239" spans="1:6">
      <c r="A239" t="str">
        <f t="shared" si="8"/>
        <v/>
      </c>
      <c r="C239" t="str">
        <f t="shared" si="7"/>
        <v/>
      </c>
      <c r="D239" t="str">
        <f>IF(C239&lt;&gt;"",(_xlfn.XLOOKUP(C239,'Loan Out'!A:A,'Loan Out'!B:B)),"")</f>
        <v/>
      </c>
      <c r="E239" t="str">
        <f>IF(B239&lt;&gt;"",(_xlfn.XLOOKUP(C239,'Loan Out'!A:A,'Loan Out'!I:I)),"")</f>
        <v/>
      </c>
      <c r="F239" s="2"/>
    </row>
    <row r="240" spans="1:6">
      <c r="A240" t="str">
        <f t="shared" si="8"/>
        <v/>
      </c>
      <c r="C240" t="str">
        <f t="shared" si="7"/>
        <v/>
      </c>
      <c r="D240" t="str">
        <f>IF(C240&lt;&gt;"",(_xlfn.XLOOKUP(C240,'Loan Out'!A:A,'Loan Out'!B:B)),"")</f>
        <v/>
      </c>
      <c r="E240" t="str">
        <f>IF(B240&lt;&gt;"",(_xlfn.XLOOKUP(C240,'Loan Out'!A:A,'Loan Out'!I:I)),"")</f>
        <v/>
      </c>
      <c r="F240" s="2"/>
    </row>
    <row r="241" spans="1:6">
      <c r="A241" t="str">
        <f t="shared" si="8"/>
        <v/>
      </c>
      <c r="C241" t="str">
        <f t="shared" si="7"/>
        <v/>
      </c>
      <c r="D241" t="str">
        <f>IF(C241&lt;&gt;"",(_xlfn.XLOOKUP(C241,'Loan Out'!A:A,'Loan Out'!B:B)),"")</f>
        <v/>
      </c>
      <c r="E241" t="str">
        <f>IF(B241&lt;&gt;"",(_xlfn.XLOOKUP(C241,'Loan Out'!A:A,'Loan Out'!I:I)),"")</f>
        <v/>
      </c>
      <c r="F241" s="2"/>
    </row>
    <row r="242" spans="1:6">
      <c r="A242" t="str">
        <f t="shared" si="8"/>
        <v/>
      </c>
      <c r="C242" t="str">
        <f t="shared" si="7"/>
        <v/>
      </c>
      <c r="D242" t="str">
        <f>IF(C242&lt;&gt;"",(_xlfn.XLOOKUP(C242,'Loan Out'!A:A,'Loan Out'!B:B)),"")</f>
        <v/>
      </c>
      <c r="E242" t="str">
        <f>IF(B242&lt;&gt;"",(_xlfn.XLOOKUP(C242,'Loan Out'!A:A,'Loan Out'!I:I)),"")</f>
        <v/>
      </c>
      <c r="F242" s="2"/>
    </row>
    <row r="243" spans="1:6">
      <c r="A243" t="str">
        <f t="shared" si="8"/>
        <v/>
      </c>
      <c r="C243" t="str">
        <f t="shared" si="7"/>
        <v/>
      </c>
      <c r="D243" t="str">
        <f>IF(C243&lt;&gt;"",(_xlfn.XLOOKUP(C243,'Loan Out'!A:A,'Loan Out'!B:B)),"")</f>
        <v/>
      </c>
      <c r="E243" t="str">
        <f>IF(B243&lt;&gt;"",(_xlfn.XLOOKUP(C243,'Loan Out'!A:A,'Loan Out'!I:I)),"")</f>
        <v/>
      </c>
      <c r="F243" s="2"/>
    </row>
    <row r="244" spans="1:6">
      <c r="A244" t="str">
        <f t="shared" si="8"/>
        <v/>
      </c>
      <c r="C244" t="str">
        <f t="shared" si="7"/>
        <v/>
      </c>
      <c r="D244" t="str">
        <f>IF(C244&lt;&gt;"",(_xlfn.XLOOKUP(C244,'Loan Out'!A:A,'Loan Out'!B:B)),"")</f>
        <v/>
      </c>
      <c r="E244" t="str">
        <f>IF(B244&lt;&gt;"",(_xlfn.XLOOKUP(C244,'Loan Out'!A:A,'Loan Out'!I:I)),"")</f>
        <v/>
      </c>
      <c r="F244" s="2"/>
    </row>
    <row r="245" spans="1:6">
      <c r="A245" t="str">
        <f t="shared" si="8"/>
        <v/>
      </c>
      <c r="C245" t="str">
        <f t="shared" si="7"/>
        <v/>
      </c>
      <c r="D245" t="str">
        <f>IF(C245&lt;&gt;"",(_xlfn.XLOOKUP(C245,'Loan Out'!A:A,'Loan Out'!B:B)),"")</f>
        <v/>
      </c>
      <c r="E245" t="str">
        <f>IF(B245&lt;&gt;"",(_xlfn.XLOOKUP(C245,'Loan Out'!A:A,'Loan Out'!I:I)),"")</f>
        <v/>
      </c>
      <c r="F245" s="2"/>
    </row>
    <row r="246" spans="1:6">
      <c r="A246" t="str">
        <f t="shared" si="8"/>
        <v/>
      </c>
      <c r="C246" t="str">
        <f t="shared" si="7"/>
        <v/>
      </c>
      <c r="D246" t="str">
        <f>IF(C246&lt;&gt;"",(_xlfn.XLOOKUP(C246,'Loan Out'!A:A,'Loan Out'!B:B)),"")</f>
        <v/>
      </c>
      <c r="E246" t="str">
        <f>IF(B246&lt;&gt;"",(_xlfn.XLOOKUP(C246,'Loan Out'!A:A,'Loan Out'!I:I)),"")</f>
        <v/>
      </c>
      <c r="F246" s="2"/>
    </row>
    <row r="247" spans="1:6">
      <c r="A247" t="str">
        <f t="shared" si="8"/>
        <v/>
      </c>
      <c r="C247" t="str">
        <f t="shared" si="7"/>
        <v/>
      </c>
      <c r="D247" t="str">
        <f>IF(C247&lt;&gt;"",(_xlfn.XLOOKUP(C247,'Loan Out'!A:A,'Loan Out'!B:B)),"")</f>
        <v/>
      </c>
      <c r="E247" t="str">
        <f>IF(B247&lt;&gt;"",(_xlfn.XLOOKUP(C247,'Loan Out'!A:A,'Loan Out'!I:I)),"")</f>
        <v/>
      </c>
      <c r="F247" s="2"/>
    </row>
    <row r="248" spans="1:6">
      <c r="A248" t="str">
        <f t="shared" si="8"/>
        <v/>
      </c>
      <c r="C248" t="str">
        <f t="shared" si="7"/>
        <v/>
      </c>
      <c r="D248" t="str">
        <f>IF(C248&lt;&gt;"",(_xlfn.XLOOKUP(C248,'Loan Out'!A:A,'Loan Out'!B:B)),"")</f>
        <v/>
      </c>
      <c r="E248" t="str">
        <f>IF(B248&lt;&gt;"",(_xlfn.XLOOKUP(C248,'Loan Out'!A:A,'Loan Out'!I:I)),"")</f>
        <v/>
      </c>
      <c r="F248" s="2"/>
    </row>
    <row r="249" spans="1:6">
      <c r="A249" t="str">
        <f t="shared" si="8"/>
        <v/>
      </c>
      <c r="C249" t="str">
        <f t="shared" si="7"/>
        <v/>
      </c>
      <c r="D249" t="str">
        <f>IF(C249&lt;&gt;"",(_xlfn.XLOOKUP(C249,'Loan Out'!A:A,'Loan Out'!B:B)),"")</f>
        <v/>
      </c>
      <c r="E249" t="str">
        <f>IF(B249&lt;&gt;"",(_xlfn.XLOOKUP(C249,'Loan Out'!A:A,'Loan Out'!I:I)),"")</f>
        <v/>
      </c>
      <c r="F249" s="2"/>
    </row>
    <row r="250" spans="1:6">
      <c r="A250" t="str">
        <f t="shared" si="8"/>
        <v/>
      </c>
      <c r="C250" t="str">
        <f t="shared" si="7"/>
        <v/>
      </c>
      <c r="D250" t="str">
        <f>IF(C250&lt;&gt;"",(_xlfn.XLOOKUP(C250,'Loan Out'!A:A,'Loan Out'!B:B)),"")</f>
        <v/>
      </c>
      <c r="E250" t="str">
        <f>IF(B250&lt;&gt;"",(_xlfn.XLOOKUP(C250,'Loan Out'!A:A,'Loan Out'!I:I)),"")</f>
        <v/>
      </c>
      <c r="F250" s="2"/>
    </row>
  </sheetData>
  <dataValidations count="2">
    <dataValidation type="list" allowBlank="1" showInputMessage="1" showErrorMessage="1" sqref="B2:B250">
      <formula1>Helpercollist</formula1>
    </dataValidation>
    <dataValidation type="date" operator="between" allowBlank="1" showInputMessage="1" showErrorMessage="1" errorTitle="Invalid Date Input" error="Kindly Input the correct date in this format (MM/DD/YYYY)" sqref="F2:F250">
      <formula1>45658</formula1>
      <formula2>58806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0"/>
  <sheetViews>
    <sheetView workbookViewId="0">
      <selection activeCell="N7" sqref="N7"/>
    </sheetView>
  </sheetViews>
  <sheetFormatPr defaultColWidth="9" defaultRowHeight="15"/>
  <cols>
    <col min="1" max="1" width="12.75" customWidth="1"/>
    <col min="2" max="2" width="14.5" customWidth="1"/>
    <col min="5" max="5" width="13.75" customWidth="1"/>
    <col min="6" max="6" width="14.5" customWidth="1"/>
    <col min="7" max="7" width="19.5" customWidth="1"/>
    <col min="8" max="8" width="5" customWidth="1"/>
    <col min="10" max="10" width="13.875" customWidth="1"/>
    <col min="12" max="12" width="18.125" customWidth="1"/>
    <col min="13" max="15" width="13.875" customWidth="1"/>
    <col min="16" max="16" width="11.125" customWidth="1"/>
  </cols>
  <sheetData>
    <row r="1" spans="1:16">
      <c r="A1" t="s">
        <v>48</v>
      </c>
      <c r="B1" t="s">
        <v>49</v>
      </c>
      <c r="C1" t="s">
        <v>50</v>
      </c>
      <c r="D1" t="s">
        <v>30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 spans="1:16">
      <c r="A2" t="str">
        <f>IF(C2&lt;&gt;"","Entry"&amp;ROW()-1,"")</f>
        <v>Entry1</v>
      </c>
      <c r="B2" t="s">
        <v>57</v>
      </c>
      <c r="C2" t="str">
        <f>IF(B2&lt;&gt;"",(LEFT(B2,FIND(" |",B2)-1)),"")</f>
        <v>LN1</v>
      </c>
      <c r="D2">
        <f>IF(C2="","",(_xlfn.XLOOKUP(C2,'Loan Out'!A:A,'Loan Out'!J:J)))</f>
        <v>45964</v>
      </c>
      <c r="E2">
        <f>IF(C2="","",(_xlfn.XLOOKUP(C2,'Loan Out'!A:A,'Loan Out'!D:D)))</f>
        <v>18000</v>
      </c>
      <c r="F2">
        <f>IF(C2="","",(_xlfn.XLOOKUP(C2,'Loan Out'!A:A,'Loan Out'!E:E)))</f>
        <v>105</v>
      </c>
      <c r="G2">
        <f>IF(C2="","",(_xlfn.XLOOKUP(C2,'Loan Out'!A:A,'Loan Out'!F:F)))</f>
        <v>18105</v>
      </c>
      <c r="H2">
        <f>IF(C2="","",(_xlfn.XLOOKUP(C2,'Loan Out'!A:A,'Loan Out'!G:G)))</f>
        <v>0.15</v>
      </c>
      <c r="I2">
        <f>IF(C2="","",(_xlfn.XLOOKUP(C2,'Loan Out'!A:A,'Loan Out'!H:H)))</f>
        <v>2700</v>
      </c>
      <c r="J2">
        <f>IF(C2="","",(_xlfn.XLOOKUP(C2,'Loan Out'!A:A,'Loan Out'!I:I)))</f>
        <v>20700</v>
      </c>
      <c r="K2">
        <f>IF(C2="","",(_xlfn.XLOOKUP(C2,'Loan Out'!A:A,'Loan Out'!J:J)))</f>
        <v>45964</v>
      </c>
      <c r="L2">
        <f>IF(C2&lt;&gt;"",(SUMIF(Payments!C:C,C2,Payments!G:G)),"")</f>
        <v>0</v>
      </c>
      <c r="M2">
        <f>IF(C2&lt;&gt;"",(J2-L2),"")</f>
        <v>20700</v>
      </c>
      <c r="N2">
        <f>IF(B2&lt;&gt;"",(IF(L2&gt;G2,(L2-G2),0)),"")</f>
        <v>0</v>
      </c>
      <c r="O2">
        <f>IF(B2&lt;&gt;"",(IF(P2="Bad debt",M2,0)),"")</f>
        <v>0</v>
      </c>
      <c r="P2" s="1" t="str">
        <f>IF(B2&lt;&gt;"",(IF((_xlfn.XLOOKUP(C2,'Loan Out'!A:A,'Loan Out'!L:L))="Bad debt","Bad debt",IF(M2&gt;0,"Pending","Settled"))),"")</f>
        <v>Pending</v>
      </c>
    </row>
    <row r="3" spans="1:16">
      <c r="A3" t="str">
        <f t="shared" ref="A3:A66" si="0">IF(C3&lt;&gt;"","Entry"&amp;ROW()-1,"")</f>
        <v>Entry2</v>
      </c>
      <c r="B3" t="s">
        <v>58</v>
      </c>
      <c r="C3" t="str">
        <f t="shared" ref="C3:C66" si="1">IF(B3&lt;&gt;"",(LEFT(B3,FIND(" |",B3)-1)),"")</f>
        <v>LN2</v>
      </c>
      <c r="D3">
        <f>IF(C3="","",(_xlfn.XLOOKUP(C3,'Loan Out'!A:A,'Loan Out'!J:J)))</f>
        <v>45952</v>
      </c>
      <c r="E3">
        <f>IF(C3="","",(_xlfn.XLOOKUP(C3,'Loan Out'!A:A,'Loan Out'!D:D)))</f>
        <v>1100</v>
      </c>
      <c r="F3">
        <f>IF(C3="","",(_xlfn.XLOOKUP(C3,'Loan Out'!A:A,'Loan Out'!E:E)))</f>
        <v>13</v>
      </c>
      <c r="G3">
        <f>IF(C3="","",(_xlfn.XLOOKUP(C3,'Loan Out'!A:A,'Loan Out'!F:F)))</f>
        <v>1113</v>
      </c>
      <c r="H3">
        <f>IF(C3="","",(_xlfn.XLOOKUP(C3,'Loan Out'!A:A,'Loan Out'!G:G)))</f>
        <v>0</v>
      </c>
      <c r="I3">
        <f>IF(C3="","",(_xlfn.XLOOKUP(C3,'Loan Out'!A:A,'Loan Out'!H:H)))</f>
        <v>0</v>
      </c>
      <c r="J3">
        <f>IF(C3="","",(_xlfn.XLOOKUP(C3,'Loan Out'!A:A,'Loan Out'!I:I)))</f>
        <v>1100</v>
      </c>
      <c r="K3">
        <f>IF(C3="","",(_xlfn.XLOOKUP(C3,'Loan Out'!A:A,'Loan Out'!J:J)))</f>
        <v>45952</v>
      </c>
      <c r="L3">
        <f>IF(C3&lt;&gt;"",(SUMIF(Payments!C:C,C3,Payments!G:G)),"")</f>
        <v>0</v>
      </c>
      <c r="M3">
        <f t="shared" ref="M3:M66" si="2">IF(C3&lt;&gt;"",(J3-L3),"")</f>
        <v>1100</v>
      </c>
      <c r="N3">
        <f t="shared" ref="N3:N66" si="3">IF(B3&lt;&gt;"",(IF(L3&gt;G3,(L3-G3),0)),"")</f>
        <v>0</v>
      </c>
      <c r="O3">
        <f t="shared" ref="O3:O66" si="4">IF(B3&lt;&gt;"",(IF(P3="Bad debt",M3,0)),"")</f>
        <v>0</v>
      </c>
      <c r="P3" s="1" t="str">
        <f>IF(B3&lt;&gt;"",(IF((_xlfn.XLOOKUP(C3,'Loan Out'!A:A,'Loan Out'!L:L))="Bad debt","Bad debt",IF(M3&gt;0,"Pending","Settled"))),"")</f>
        <v>Pending</v>
      </c>
    </row>
    <row r="4" spans="1:16">
      <c r="A4" t="str">
        <f t="shared" si="0"/>
        <v>Entry3</v>
      </c>
      <c r="B4" t="s">
        <v>59</v>
      </c>
      <c r="C4" t="str">
        <f t="shared" si="1"/>
        <v>LN3</v>
      </c>
      <c r="D4">
        <f>IF(C4="","",(_xlfn.XLOOKUP(C4,'Loan Out'!A:A,'Loan Out'!J:J)))</f>
        <v>45956</v>
      </c>
      <c r="E4">
        <f>IF(C4="","",(_xlfn.XLOOKUP(C4,'Loan Out'!A:A,'Loan Out'!D:D)))</f>
        <v>500</v>
      </c>
      <c r="F4">
        <f>IF(C4="","",(_xlfn.XLOOKUP(C4,'Loan Out'!A:A,'Loan Out'!E:E)))</f>
        <v>7</v>
      </c>
      <c r="G4">
        <f>IF(C4="","",(_xlfn.XLOOKUP(C4,'Loan Out'!A:A,'Loan Out'!F:F)))</f>
        <v>507</v>
      </c>
      <c r="H4">
        <f>IF(C4="","",(_xlfn.XLOOKUP(C4,'Loan Out'!A:A,'Loan Out'!G:G)))</f>
        <v>0</v>
      </c>
      <c r="I4">
        <f>IF(C4="","",(_xlfn.XLOOKUP(C4,'Loan Out'!A:A,'Loan Out'!H:H)))</f>
        <v>0</v>
      </c>
      <c r="J4">
        <f>IF(C4="","",(_xlfn.XLOOKUP(C4,'Loan Out'!A:A,'Loan Out'!I:I)))</f>
        <v>500</v>
      </c>
      <c r="K4">
        <f>IF(C4="","",(_xlfn.XLOOKUP(C4,'Loan Out'!A:A,'Loan Out'!J:J)))</f>
        <v>45956</v>
      </c>
      <c r="L4">
        <f>IF(C4&lt;&gt;"",(SUMIF(Payments!C:C,C4,Payments!G:G)),"")</f>
        <v>0</v>
      </c>
      <c r="M4">
        <f t="shared" si="2"/>
        <v>500</v>
      </c>
      <c r="N4">
        <f t="shared" si="3"/>
        <v>0</v>
      </c>
      <c r="O4">
        <f t="shared" si="4"/>
        <v>0</v>
      </c>
      <c r="P4" s="1" t="str">
        <f>IF(B4&lt;&gt;"",(IF((_xlfn.XLOOKUP(C4,'Loan Out'!A:A,'Loan Out'!L:L))="Bad debt","Bad debt",IF(M4&gt;0,"Pending","Settled"))),"")</f>
        <v>Pending</v>
      </c>
    </row>
    <row r="5" spans="1:16">
      <c r="A5" t="str">
        <f t="shared" si="0"/>
        <v>Entry4</v>
      </c>
      <c r="B5" t="s">
        <v>38</v>
      </c>
      <c r="C5" t="str">
        <f t="shared" si="1"/>
        <v>LN4</v>
      </c>
      <c r="D5">
        <f>IF(C5="","",(_xlfn.XLOOKUP(C5,'Loan Out'!A:A,'Loan Out'!J:J)))</f>
        <v>45757</v>
      </c>
      <c r="E5">
        <f>IF(C5="","",(_xlfn.XLOOKUP(C5,'Loan Out'!A:A,'Loan Out'!D:D)))</f>
        <v>4000</v>
      </c>
      <c r="F5">
        <f>IF(C5="","",(_xlfn.XLOOKUP(C5,'Loan Out'!A:A,'Loan Out'!E:E)))</f>
        <v>33</v>
      </c>
      <c r="G5">
        <f>IF(C5="","",(_xlfn.XLOOKUP(C5,'Loan Out'!A:A,'Loan Out'!F:F)))</f>
        <v>4033</v>
      </c>
      <c r="H5">
        <f>IF(C5="","",(_xlfn.XLOOKUP(C5,'Loan Out'!A:A,'Loan Out'!G:G)))</f>
        <v>0.15</v>
      </c>
      <c r="I5">
        <f>IF(C5="","",(_xlfn.XLOOKUP(C5,'Loan Out'!A:A,'Loan Out'!H:H)))</f>
        <v>600</v>
      </c>
      <c r="J5">
        <f>IF(C5="","",(_xlfn.XLOOKUP(C5,'Loan Out'!A:A,'Loan Out'!I:I)))</f>
        <v>4600</v>
      </c>
      <c r="K5">
        <f>IF(C5="","",(_xlfn.XLOOKUP(C5,'Loan Out'!A:A,'Loan Out'!J:J)))</f>
        <v>45757</v>
      </c>
      <c r="L5">
        <f>IF(C5&lt;&gt;"",(SUMIF(Payments!C:C,C5,Payments!G:G)),"")</f>
        <v>3000</v>
      </c>
      <c r="M5">
        <f t="shared" si="2"/>
        <v>1600</v>
      </c>
      <c r="N5">
        <f t="shared" si="3"/>
        <v>0</v>
      </c>
      <c r="O5">
        <f t="shared" si="4"/>
        <v>1600</v>
      </c>
      <c r="P5" s="1" t="str">
        <f>IF(B5&lt;&gt;"",(IF((_xlfn.XLOOKUP(C5,'Loan Out'!A:A,'Loan Out'!L:L))="Bad debt","Bad debt",IF(M5&gt;0,"Pending","Settled"))),"")</f>
        <v>Bad debt</v>
      </c>
    </row>
    <row r="6" spans="1:16">
      <c r="A6" t="str">
        <f t="shared" si="0"/>
        <v>Entry5</v>
      </c>
      <c r="B6" t="s">
        <v>60</v>
      </c>
      <c r="C6" t="str">
        <f t="shared" si="1"/>
        <v>LN5</v>
      </c>
      <c r="D6">
        <f>IF(C6="","",(_xlfn.XLOOKUP(C6,'Loan Out'!A:A,'Loan Out'!J:J)))</f>
        <v>45698</v>
      </c>
      <c r="E6">
        <f>IF(C6="","",(_xlfn.XLOOKUP(C6,'Loan Out'!A:A,'Loan Out'!D:D)))</f>
        <v>1000</v>
      </c>
      <c r="F6">
        <f>IF(C6="","",(_xlfn.XLOOKUP(C6,'Loan Out'!A:A,'Loan Out'!E:E)))</f>
        <v>13</v>
      </c>
      <c r="G6">
        <f>IF(C6="","",(_xlfn.XLOOKUP(C6,'Loan Out'!A:A,'Loan Out'!F:F)))</f>
        <v>1013</v>
      </c>
      <c r="H6">
        <f>IF(C6="","",(_xlfn.XLOOKUP(C6,'Loan Out'!A:A,'Loan Out'!G:G)))</f>
        <v>0</v>
      </c>
      <c r="I6">
        <f>IF(C6="","",(_xlfn.XLOOKUP(C6,'Loan Out'!A:A,'Loan Out'!H:H)))</f>
        <v>0</v>
      </c>
      <c r="J6">
        <f>IF(C6="","",(_xlfn.XLOOKUP(C6,'Loan Out'!A:A,'Loan Out'!I:I)))</f>
        <v>1000</v>
      </c>
      <c r="K6">
        <f>IF(C6="","",(_xlfn.XLOOKUP(C6,'Loan Out'!A:A,'Loan Out'!J:J)))</f>
        <v>45698</v>
      </c>
      <c r="L6">
        <f>IF(C6&lt;&gt;"",(SUMIF(Payments!C:C,C6,Payments!G:G)),"")</f>
        <v>0</v>
      </c>
      <c r="M6">
        <f t="shared" si="2"/>
        <v>1000</v>
      </c>
      <c r="N6">
        <f t="shared" si="3"/>
        <v>0</v>
      </c>
      <c r="O6">
        <f t="shared" si="4"/>
        <v>1000</v>
      </c>
      <c r="P6" s="1" t="str">
        <f>IF(B6&lt;&gt;"",(IF((_xlfn.XLOOKUP(C6,'Loan Out'!A:A,'Loan Out'!L:L))="Bad debt","Bad debt",IF(M6&gt;0,"Pending","Settled"))),"")</f>
        <v>Bad debt</v>
      </c>
    </row>
    <row r="7" spans="1:16">
      <c r="A7" t="str">
        <f t="shared" si="0"/>
        <v>Entry6</v>
      </c>
      <c r="B7" t="s">
        <v>39</v>
      </c>
      <c r="C7" t="str">
        <f t="shared" si="1"/>
        <v>LN6</v>
      </c>
      <c r="D7">
        <f>IF(C7="","",(_xlfn.XLOOKUP(C7,'Loan Out'!A:A,'Loan Out'!J:J)))</f>
        <v>45964</v>
      </c>
      <c r="E7">
        <f>IF(C7="","",(_xlfn.XLOOKUP(C7,'Loan Out'!A:A,'Loan Out'!D:D)))</f>
        <v>4000</v>
      </c>
      <c r="F7">
        <f>IF(C7="","",(_xlfn.XLOOKUP(C7,'Loan Out'!A:A,'Loan Out'!E:E)))</f>
        <v>54</v>
      </c>
      <c r="G7">
        <f>IF(C7="","",(_xlfn.XLOOKUP(C7,'Loan Out'!A:A,'Loan Out'!F:F)))</f>
        <v>4054</v>
      </c>
      <c r="H7">
        <f>IF(C7="","",(_xlfn.XLOOKUP(C7,'Loan Out'!A:A,'Loan Out'!G:G)))</f>
        <v>0.15</v>
      </c>
      <c r="I7">
        <f>IF(C7="","",(_xlfn.XLOOKUP(C7,'Loan Out'!A:A,'Loan Out'!H:H)))</f>
        <v>600</v>
      </c>
      <c r="J7">
        <f>IF(C7="","",(_xlfn.XLOOKUP(C7,'Loan Out'!A:A,'Loan Out'!I:I)))</f>
        <v>4600</v>
      </c>
      <c r="K7">
        <f>IF(C7="","",(_xlfn.XLOOKUP(C7,'Loan Out'!A:A,'Loan Out'!J:J)))</f>
        <v>45964</v>
      </c>
      <c r="L7">
        <f>IF(C7&lt;&gt;"",(SUMIF(Payments!C:C,C7,Payments!G:G)),"")</f>
        <v>4600</v>
      </c>
      <c r="M7">
        <f t="shared" si="2"/>
        <v>0</v>
      </c>
      <c r="N7">
        <f t="shared" si="3"/>
        <v>546</v>
      </c>
      <c r="O7">
        <f t="shared" si="4"/>
        <v>0</v>
      </c>
      <c r="P7" s="1" t="str">
        <f>IF(B7&lt;&gt;"",(IF((_xlfn.XLOOKUP(C7,'Loan Out'!A:A,'Loan Out'!L:L))="Bad debt","Bad debt",IF(M7&gt;0,"Pending","Settled"))),"")</f>
        <v>Settled</v>
      </c>
    </row>
    <row r="8" spans="1:16">
      <c r="A8" t="str">
        <f t="shared" si="0"/>
        <v>Entry7</v>
      </c>
      <c r="B8" t="s">
        <v>40</v>
      </c>
      <c r="C8" t="str">
        <f t="shared" si="1"/>
        <v>LN7</v>
      </c>
      <c r="D8">
        <f>IF(C8="","",(_xlfn.XLOOKUP(C8,'Loan Out'!A:A,'Loan Out'!J:J)))</f>
        <v>45967</v>
      </c>
      <c r="E8">
        <f>IF(C8="","",(_xlfn.XLOOKUP(C8,'Loan Out'!A:A,'Loan Out'!D:D)))</f>
        <v>5000</v>
      </c>
      <c r="F8">
        <f>IF(C8="","",(_xlfn.XLOOKUP(C8,'Loan Out'!A:A,'Loan Out'!E:E)))</f>
        <v>57</v>
      </c>
      <c r="G8">
        <f>IF(C8="","",(_xlfn.XLOOKUP(C8,'Loan Out'!A:A,'Loan Out'!F:F)))</f>
        <v>5057</v>
      </c>
      <c r="H8">
        <f>IF(C8="","",(_xlfn.XLOOKUP(C8,'Loan Out'!A:A,'Loan Out'!G:G)))</f>
        <v>0.15</v>
      </c>
      <c r="I8">
        <f>IF(C8="","",(_xlfn.XLOOKUP(C8,'Loan Out'!A:A,'Loan Out'!H:H)))</f>
        <v>750</v>
      </c>
      <c r="J8">
        <f>IF(C8="","",(_xlfn.XLOOKUP(C8,'Loan Out'!A:A,'Loan Out'!I:I)))</f>
        <v>5750</v>
      </c>
      <c r="K8">
        <f>IF(C8="","",(_xlfn.XLOOKUP(C8,'Loan Out'!A:A,'Loan Out'!J:J)))</f>
        <v>45967</v>
      </c>
      <c r="L8">
        <f>IF(C8&lt;&gt;"",(SUMIF(Payments!C:C,C8,Payments!G:G)),"")</f>
        <v>5750</v>
      </c>
      <c r="M8">
        <f t="shared" si="2"/>
        <v>0</v>
      </c>
      <c r="N8">
        <f t="shared" si="3"/>
        <v>693</v>
      </c>
      <c r="O8">
        <f t="shared" si="4"/>
        <v>0</v>
      </c>
      <c r="P8" s="1" t="str">
        <f>IF(B8&lt;&gt;"",(IF((_xlfn.XLOOKUP(C8,'Loan Out'!A:A,'Loan Out'!L:L))="Bad debt","Bad debt",IF(M8&gt;0,"Pending","Settled"))),"")</f>
        <v>Settled</v>
      </c>
    </row>
    <row r="9" spans="1:16">
      <c r="A9" t="str">
        <f t="shared" si="0"/>
        <v>Entry8</v>
      </c>
      <c r="B9" t="s">
        <v>61</v>
      </c>
      <c r="C9" t="str">
        <f t="shared" si="1"/>
        <v>LN8</v>
      </c>
      <c r="D9">
        <f>IF(C9="","",(_xlfn.XLOOKUP(C9,'Loan Out'!A:A,'Loan Out'!J:J)))</f>
        <v>45972</v>
      </c>
      <c r="E9">
        <f>IF(C9="","",(_xlfn.XLOOKUP(C9,'Loan Out'!A:A,'Loan Out'!D:D)))</f>
        <v>2000</v>
      </c>
      <c r="F9">
        <f>IF(C9="","",(_xlfn.XLOOKUP(C9,'Loan Out'!A:A,'Loan Out'!E:E)))</f>
        <v>29</v>
      </c>
      <c r="G9">
        <f>IF(C9="","",(_xlfn.XLOOKUP(C9,'Loan Out'!A:A,'Loan Out'!F:F)))</f>
        <v>2029</v>
      </c>
      <c r="H9">
        <f>IF(C9="","",(_xlfn.XLOOKUP(C9,'Loan Out'!A:A,'Loan Out'!G:G)))</f>
        <v>0.15</v>
      </c>
      <c r="I9">
        <f>IF(C9="","",(_xlfn.XLOOKUP(C9,'Loan Out'!A:A,'Loan Out'!H:H)))</f>
        <v>300</v>
      </c>
      <c r="J9">
        <f>IF(C9="","",(_xlfn.XLOOKUP(C9,'Loan Out'!A:A,'Loan Out'!I:I)))</f>
        <v>2300</v>
      </c>
      <c r="K9">
        <f>IF(C9="","",(_xlfn.XLOOKUP(C9,'Loan Out'!A:A,'Loan Out'!J:J)))</f>
        <v>45972</v>
      </c>
      <c r="L9">
        <f>IF(C9&lt;&gt;"",(SUMIF(Payments!C:C,C9,Payments!G:G)),"")</f>
        <v>0</v>
      </c>
      <c r="M9">
        <f t="shared" si="2"/>
        <v>2300</v>
      </c>
      <c r="N9">
        <f t="shared" si="3"/>
        <v>0</v>
      </c>
      <c r="O9">
        <f t="shared" si="4"/>
        <v>0</v>
      </c>
      <c r="P9" s="1" t="str">
        <f>IF(B9&lt;&gt;"",(IF((_xlfn.XLOOKUP(C9,'Loan Out'!A:A,'Loan Out'!L:L))="Bad debt","Bad debt",IF(M9&gt;0,"Pending","Settled"))),"")</f>
        <v>Pending</v>
      </c>
    </row>
    <row r="10" spans="1:16">
      <c r="A10" t="str">
        <f t="shared" si="0"/>
        <v>Entry9</v>
      </c>
      <c r="B10" t="s">
        <v>41</v>
      </c>
      <c r="C10" t="str">
        <f t="shared" si="1"/>
        <v>LN9</v>
      </c>
      <c r="D10">
        <f>IF(C10="","",(_xlfn.XLOOKUP(C10,'Loan Out'!A:A,'Loan Out'!J:J)))</f>
        <v>45975</v>
      </c>
      <c r="E10">
        <f>IF(C10="","",(_xlfn.XLOOKUP(C10,'Loan Out'!A:A,'Loan Out'!D:D)))</f>
        <v>1500</v>
      </c>
      <c r="F10">
        <f>IF(C10="","",(_xlfn.XLOOKUP(C10,'Loan Out'!A:A,'Loan Out'!E:E)))</f>
        <v>29</v>
      </c>
      <c r="G10">
        <f>IF(C10="","",(_xlfn.XLOOKUP(C10,'Loan Out'!A:A,'Loan Out'!F:F)))</f>
        <v>1529</v>
      </c>
      <c r="H10">
        <f>IF(C10="","",(_xlfn.XLOOKUP(C10,'Loan Out'!A:A,'Loan Out'!G:G)))</f>
        <v>0</v>
      </c>
      <c r="I10">
        <f>IF(C10="","",(_xlfn.XLOOKUP(C10,'Loan Out'!A:A,'Loan Out'!H:H)))</f>
        <v>0</v>
      </c>
      <c r="J10">
        <f>IF(C10="","",(_xlfn.XLOOKUP(C10,'Loan Out'!A:A,'Loan Out'!I:I)))</f>
        <v>1500</v>
      </c>
      <c r="K10">
        <f>IF(C10="","",(_xlfn.XLOOKUP(C10,'Loan Out'!A:A,'Loan Out'!J:J)))</f>
        <v>45975</v>
      </c>
      <c r="L10">
        <f>IF(C10&lt;&gt;"",(SUMIF(Payments!C:C,C10,Payments!G:G)),"")</f>
        <v>1600</v>
      </c>
      <c r="M10">
        <f t="shared" si="2"/>
        <v>-100</v>
      </c>
      <c r="N10">
        <f t="shared" si="3"/>
        <v>71</v>
      </c>
      <c r="O10">
        <f t="shared" si="4"/>
        <v>0</v>
      </c>
      <c r="P10" s="1" t="str">
        <f>IF(B10&lt;&gt;"",(IF((_xlfn.XLOOKUP(C10,'Loan Out'!A:A,'Loan Out'!L:L))="Bad debt","Bad debt",IF(M10&gt;0,"Pending","Settled"))),"")</f>
        <v>Settled</v>
      </c>
    </row>
    <row r="11" spans="1:16">
      <c r="A11" t="str">
        <f t="shared" si="0"/>
        <v>Entry10</v>
      </c>
      <c r="B11" t="s">
        <v>42</v>
      </c>
      <c r="C11" t="str">
        <f t="shared" si="1"/>
        <v>LN10</v>
      </c>
      <c r="D11">
        <f>IF(C11="","",(_xlfn.XLOOKUP(C11,'Loan Out'!A:A,'Loan Out'!J:J)))</f>
        <v>45981</v>
      </c>
      <c r="E11">
        <f>IF(C11="","",(_xlfn.XLOOKUP(C11,'Loan Out'!A:A,'Loan Out'!D:D)))</f>
        <v>1000</v>
      </c>
      <c r="F11">
        <f>IF(C11="","",(_xlfn.XLOOKUP(C11,'Loan Out'!A:A,'Loan Out'!E:E)))</f>
        <v>18</v>
      </c>
      <c r="G11">
        <f>IF(C11="","",(_xlfn.XLOOKUP(C11,'Loan Out'!A:A,'Loan Out'!F:F)))</f>
        <v>1018</v>
      </c>
      <c r="H11">
        <f>IF(C11="","",(_xlfn.XLOOKUP(C11,'Loan Out'!A:A,'Loan Out'!G:G)))</f>
        <v>0.15</v>
      </c>
      <c r="I11">
        <f>IF(C11="","",(_xlfn.XLOOKUP(C11,'Loan Out'!A:A,'Loan Out'!H:H)))</f>
        <v>150</v>
      </c>
      <c r="J11">
        <f>IF(C11="","",(_xlfn.XLOOKUP(C11,'Loan Out'!A:A,'Loan Out'!I:I)))</f>
        <v>1150</v>
      </c>
      <c r="K11">
        <f>IF(C11="","",(_xlfn.XLOOKUP(C11,'Loan Out'!A:A,'Loan Out'!J:J)))</f>
        <v>45981</v>
      </c>
      <c r="L11">
        <f>IF(C11&lt;&gt;"",(SUMIF(Payments!C:C,C11,Payments!G:G)),"")</f>
        <v>1150</v>
      </c>
      <c r="M11">
        <f t="shared" si="2"/>
        <v>0</v>
      </c>
      <c r="N11">
        <f t="shared" si="3"/>
        <v>132</v>
      </c>
      <c r="O11">
        <f t="shared" si="4"/>
        <v>0</v>
      </c>
      <c r="P11" s="1" t="str">
        <f>IF(B11&lt;&gt;"",(IF((_xlfn.XLOOKUP(C11,'Loan Out'!A:A,'Loan Out'!L:L))="Bad debt","Bad debt",IF(M11&gt;0,"Pending","Settled"))),"")</f>
        <v>Settled</v>
      </c>
    </row>
    <row r="12" spans="1:16">
      <c r="A12" t="str">
        <f t="shared" si="0"/>
        <v>Entry11</v>
      </c>
      <c r="B12" t="s">
        <v>43</v>
      </c>
      <c r="C12" t="str">
        <f t="shared" si="1"/>
        <v>LN11</v>
      </c>
      <c r="D12">
        <f>IF(C12="","",(_xlfn.XLOOKUP(C12,'Loan Out'!A:A,'Loan Out'!J:J)))</f>
        <v>45983</v>
      </c>
      <c r="E12">
        <f>IF(C12="","",(_xlfn.XLOOKUP(C12,'Loan Out'!A:A,'Loan Out'!D:D)))</f>
        <v>15000</v>
      </c>
      <c r="F12">
        <f>IF(C12="","",(_xlfn.XLOOKUP(C12,'Loan Out'!A:A,'Loan Out'!E:E)))</f>
        <v>60</v>
      </c>
      <c r="G12">
        <f>IF(C12="","",(_xlfn.XLOOKUP(C12,'Loan Out'!A:A,'Loan Out'!F:F)))</f>
        <v>15060</v>
      </c>
      <c r="H12">
        <f>IF(C12="","",(_xlfn.XLOOKUP(C12,'Loan Out'!A:A,'Loan Out'!G:G)))</f>
        <v>0.1</v>
      </c>
      <c r="I12">
        <f>IF(C12="","",(_xlfn.XLOOKUP(C12,'Loan Out'!A:A,'Loan Out'!H:H)))</f>
        <v>1500</v>
      </c>
      <c r="J12">
        <f>IF(C12="","",(_xlfn.XLOOKUP(C12,'Loan Out'!A:A,'Loan Out'!I:I)))</f>
        <v>16500</v>
      </c>
      <c r="K12">
        <f>IF(C12="","",(_xlfn.XLOOKUP(C12,'Loan Out'!A:A,'Loan Out'!J:J)))</f>
        <v>45983</v>
      </c>
      <c r="L12">
        <f>IF(C12&lt;&gt;"",(SUMIF(Payments!C:C,C12,Payments!G:G)),"")</f>
        <v>10000</v>
      </c>
      <c r="M12">
        <f t="shared" si="2"/>
        <v>6500</v>
      </c>
      <c r="N12">
        <f t="shared" si="3"/>
        <v>0</v>
      </c>
      <c r="O12">
        <f t="shared" si="4"/>
        <v>0</v>
      </c>
      <c r="P12" s="1" t="str">
        <f>IF(B12&lt;&gt;"",(IF((_xlfn.XLOOKUP(C12,'Loan Out'!A:A,'Loan Out'!L:L))="Bad debt","Bad debt",IF(M12&gt;0,"Pending","Settled"))),"")</f>
        <v>Pending</v>
      </c>
    </row>
    <row r="13" spans="1:16">
      <c r="A13" t="str">
        <f t="shared" si="0"/>
        <v>Entry12</v>
      </c>
      <c r="B13" t="s">
        <v>44</v>
      </c>
      <c r="C13" t="str">
        <f t="shared" si="1"/>
        <v>LN12</v>
      </c>
      <c r="D13">
        <f>IF(C13="","",(_xlfn.XLOOKUP(C13,'Loan Out'!A:A,'Loan Out'!J:J)))</f>
        <v>45992</v>
      </c>
      <c r="E13">
        <f>IF(C13="","",(_xlfn.XLOOKUP(C13,'Loan Out'!A:A,'Loan Out'!D:D)))</f>
        <v>5000</v>
      </c>
      <c r="F13">
        <f>IF(C13="","",(_xlfn.XLOOKUP(C13,'Loan Out'!A:A,'Loan Out'!E:E)))</f>
        <v>57</v>
      </c>
      <c r="G13">
        <f>IF(C13="","",(_xlfn.XLOOKUP(C13,'Loan Out'!A:A,'Loan Out'!F:F)))</f>
        <v>5057</v>
      </c>
      <c r="H13">
        <f>IF(C13="","",(_xlfn.XLOOKUP(C13,'Loan Out'!A:A,'Loan Out'!G:G)))</f>
        <v>0.15</v>
      </c>
      <c r="I13">
        <f>IF(C13="","",(_xlfn.XLOOKUP(C13,'Loan Out'!A:A,'Loan Out'!H:H)))</f>
        <v>750</v>
      </c>
      <c r="J13">
        <f>IF(C13="","",(_xlfn.XLOOKUP(C13,'Loan Out'!A:A,'Loan Out'!I:I)))</f>
        <v>5750</v>
      </c>
      <c r="K13">
        <f>IF(C13="","",(_xlfn.XLOOKUP(C13,'Loan Out'!A:A,'Loan Out'!J:J)))</f>
        <v>45992</v>
      </c>
      <c r="L13">
        <f>IF(C13&lt;&gt;"",(SUMIF(Payments!C:C,C13,Payments!G:G)),"")</f>
        <v>5750</v>
      </c>
      <c r="M13">
        <f t="shared" si="2"/>
        <v>0</v>
      </c>
      <c r="N13">
        <f t="shared" si="3"/>
        <v>693</v>
      </c>
      <c r="O13">
        <f t="shared" si="4"/>
        <v>0</v>
      </c>
      <c r="P13" s="1" t="str">
        <f>IF(B13&lt;&gt;"",(IF((_xlfn.XLOOKUP(C13,'Loan Out'!A:A,'Loan Out'!L:L))="Bad debt","Bad debt",IF(M13&gt;0,"Pending","Settled"))),"")</f>
        <v>Settled</v>
      </c>
    </row>
    <row r="14" spans="1:16">
      <c r="A14" t="str">
        <f t="shared" si="0"/>
        <v>Entry13</v>
      </c>
      <c r="B14" t="s">
        <v>45</v>
      </c>
      <c r="C14" t="str">
        <f t="shared" si="1"/>
        <v>LN13</v>
      </c>
      <c r="D14">
        <f>IF(C14="","",(_xlfn.XLOOKUP(C14,'Loan Out'!A:A,'Loan Out'!J:J)))</f>
        <v>45993</v>
      </c>
      <c r="E14">
        <f>IF(C14="","",(_xlfn.XLOOKUP(C14,'Loan Out'!A:A,'Loan Out'!D:D)))</f>
        <v>3000</v>
      </c>
      <c r="F14">
        <f>IF(C14="","",(_xlfn.XLOOKUP(C14,'Loan Out'!A:A,'Loan Out'!E:E)))</f>
        <v>41</v>
      </c>
      <c r="G14">
        <f>IF(C14="","",(_xlfn.XLOOKUP(C14,'Loan Out'!A:A,'Loan Out'!F:F)))</f>
        <v>3041</v>
      </c>
      <c r="H14">
        <f>IF(C14="","",(_xlfn.XLOOKUP(C14,'Loan Out'!A:A,'Loan Out'!G:G)))</f>
        <v>0.15</v>
      </c>
      <c r="I14">
        <f>IF(C14="","",(_xlfn.XLOOKUP(C14,'Loan Out'!A:A,'Loan Out'!H:H)))</f>
        <v>450</v>
      </c>
      <c r="J14">
        <f>IF(C14="","",(_xlfn.XLOOKUP(C14,'Loan Out'!A:A,'Loan Out'!I:I)))</f>
        <v>3450</v>
      </c>
      <c r="K14">
        <f>IF(C14="","",(_xlfn.XLOOKUP(C14,'Loan Out'!A:A,'Loan Out'!J:J)))</f>
        <v>45993</v>
      </c>
      <c r="L14">
        <f>IF(C14&lt;&gt;"",(SUMIF(Payments!C:C,C14,Payments!G:G)),"")</f>
        <v>3450</v>
      </c>
      <c r="M14">
        <f t="shared" si="2"/>
        <v>0</v>
      </c>
      <c r="N14">
        <f t="shared" si="3"/>
        <v>409</v>
      </c>
      <c r="O14">
        <f t="shared" si="4"/>
        <v>0</v>
      </c>
      <c r="P14" s="1" t="str">
        <f>IF(B14&lt;&gt;"",(IF((_xlfn.XLOOKUP(C14,'Loan Out'!A:A,'Loan Out'!L:L))="Bad debt","Bad debt",IF(M14&gt;0,"Pending","Settled"))),"")</f>
        <v>Settled</v>
      </c>
    </row>
    <row r="15" spans="1:16">
      <c r="A15" t="str">
        <f t="shared" si="0"/>
        <v>Entry14</v>
      </c>
      <c r="B15" t="s">
        <v>46</v>
      </c>
      <c r="C15" t="str">
        <f t="shared" si="1"/>
        <v>LN14</v>
      </c>
      <c r="D15">
        <f>IF(C15="","",(_xlfn.XLOOKUP(C15,'Loan Out'!A:A,'Loan Out'!J:J)))</f>
        <v>45994</v>
      </c>
      <c r="E15">
        <f>IF(C15="","",(_xlfn.XLOOKUP(C15,'Loan Out'!A:A,'Loan Out'!D:D)))</f>
        <v>2000</v>
      </c>
      <c r="F15">
        <f>IF(C15="","",(_xlfn.XLOOKUP(C15,'Loan Out'!A:A,'Loan Out'!E:E)))</f>
        <v>28</v>
      </c>
      <c r="G15">
        <f>IF(C15="","",(_xlfn.XLOOKUP(C15,'Loan Out'!A:A,'Loan Out'!F:F)))</f>
        <v>2028</v>
      </c>
      <c r="H15">
        <f>IF(C15="","",(_xlfn.XLOOKUP(C15,'Loan Out'!A:A,'Loan Out'!G:G)))</f>
        <v>0.15</v>
      </c>
      <c r="I15">
        <f>IF(C15="","",(_xlfn.XLOOKUP(C15,'Loan Out'!A:A,'Loan Out'!H:H)))</f>
        <v>300</v>
      </c>
      <c r="J15">
        <f>IF(C15="","",(_xlfn.XLOOKUP(C15,'Loan Out'!A:A,'Loan Out'!I:I)))</f>
        <v>2300</v>
      </c>
      <c r="K15">
        <f>IF(C15="","",(_xlfn.XLOOKUP(C15,'Loan Out'!A:A,'Loan Out'!J:J)))</f>
        <v>45994</v>
      </c>
      <c r="L15">
        <f>IF(C15&lt;&gt;"",(SUMIF(Payments!C:C,C15,Payments!G:G)),"")</f>
        <v>2300</v>
      </c>
      <c r="M15">
        <f t="shared" si="2"/>
        <v>0</v>
      </c>
      <c r="N15">
        <f t="shared" si="3"/>
        <v>272</v>
      </c>
      <c r="O15">
        <f t="shared" si="4"/>
        <v>0</v>
      </c>
      <c r="P15" s="1" t="str">
        <f>IF(B15&lt;&gt;"",(IF((_xlfn.XLOOKUP(C15,'Loan Out'!A:A,'Loan Out'!L:L))="Bad debt","Bad debt",IF(M15&gt;0,"Pending","Settled"))),"")</f>
        <v>Settled</v>
      </c>
    </row>
    <row r="16" spans="1:16">
      <c r="A16" t="str">
        <f t="shared" si="0"/>
        <v>Entry15</v>
      </c>
      <c r="B16" t="s">
        <v>62</v>
      </c>
      <c r="C16" t="str">
        <f t="shared" si="1"/>
        <v>LN15</v>
      </c>
      <c r="D16">
        <f>IF(C16="","",(_xlfn.XLOOKUP(C16,'Loan Out'!A:A,'Loan Out'!J:J)))</f>
        <v>46015</v>
      </c>
      <c r="E16">
        <f>IF(C16="","",(_xlfn.XLOOKUP(C16,'Loan Out'!A:A,'Loan Out'!D:D)))</f>
        <v>7000</v>
      </c>
      <c r="F16">
        <f>IF(C16="","",(_xlfn.XLOOKUP(C16,'Loan Out'!A:A,'Loan Out'!E:E)))</f>
        <v>0</v>
      </c>
      <c r="G16">
        <f>IF(C16="","",(_xlfn.XLOOKUP(C16,'Loan Out'!A:A,'Loan Out'!F:F)))</f>
        <v>7000</v>
      </c>
      <c r="H16">
        <f>IF(C16="","",(_xlfn.XLOOKUP(C16,'Loan Out'!A:A,'Loan Out'!G:G)))</f>
        <v>0.15</v>
      </c>
      <c r="I16">
        <f>IF(C16="","",(_xlfn.XLOOKUP(C16,'Loan Out'!A:A,'Loan Out'!H:H)))</f>
        <v>1050</v>
      </c>
      <c r="J16">
        <f>IF(C16="","",(_xlfn.XLOOKUP(C16,'Loan Out'!A:A,'Loan Out'!I:I)))</f>
        <v>8050</v>
      </c>
      <c r="K16">
        <f>IF(C16="","",(_xlfn.XLOOKUP(C16,'Loan Out'!A:A,'Loan Out'!J:J)))</f>
        <v>46015</v>
      </c>
      <c r="L16">
        <f>IF(C16&lt;&gt;"",(SUMIF(Payments!C:C,C16,Payments!G:G)),"")</f>
        <v>0</v>
      </c>
      <c r="M16">
        <f t="shared" si="2"/>
        <v>8050</v>
      </c>
      <c r="N16">
        <f t="shared" si="3"/>
        <v>0</v>
      </c>
      <c r="O16">
        <f t="shared" si="4"/>
        <v>0</v>
      </c>
      <c r="P16" s="1" t="str">
        <f>IF(B16&lt;&gt;"",(IF((_xlfn.XLOOKUP(C16,'Loan Out'!A:A,'Loan Out'!L:L))="Bad debt","Bad debt",IF(M16&gt;0,"Pending","Settled"))),"")</f>
        <v>Pending</v>
      </c>
    </row>
    <row r="17" spans="1:16">
      <c r="A17" t="str">
        <f t="shared" si="0"/>
        <v>Entry16</v>
      </c>
      <c r="B17" t="s">
        <v>63</v>
      </c>
      <c r="C17" t="str">
        <f t="shared" si="1"/>
        <v>LN16</v>
      </c>
      <c r="D17">
        <f>IF(C17="","",(_xlfn.XLOOKUP(C17,'Loan Out'!A:A,'Loan Out'!J:J)))</f>
        <v>46020</v>
      </c>
      <c r="E17">
        <f>IF(C17="","",(_xlfn.XLOOKUP(C17,'Loan Out'!A:A,'Loan Out'!D:D)))</f>
        <v>2000</v>
      </c>
      <c r="F17">
        <f>IF(C17="","",(_xlfn.XLOOKUP(C17,'Loan Out'!A:A,'Loan Out'!E:E)))</f>
        <v>28</v>
      </c>
      <c r="G17">
        <f>IF(C17="","",(_xlfn.XLOOKUP(C17,'Loan Out'!A:A,'Loan Out'!F:F)))</f>
        <v>2028</v>
      </c>
      <c r="H17">
        <f>IF(C17="","",(_xlfn.XLOOKUP(C17,'Loan Out'!A:A,'Loan Out'!G:G)))</f>
        <v>0.15</v>
      </c>
      <c r="I17">
        <f>IF(C17="","",(_xlfn.XLOOKUP(C17,'Loan Out'!A:A,'Loan Out'!H:H)))</f>
        <v>300</v>
      </c>
      <c r="J17">
        <f>IF(C17="","",(_xlfn.XLOOKUP(C17,'Loan Out'!A:A,'Loan Out'!I:I)))</f>
        <v>2300</v>
      </c>
      <c r="K17">
        <f>IF(C17="","",(_xlfn.XLOOKUP(C17,'Loan Out'!A:A,'Loan Out'!J:J)))</f>
        <v>46020</v>
      </c>
      <c r="L17">
        <f>IF(C17&lt;&gt;"",(SUMIF(Payments!C:C,C17,Payments!G:G)),"")</f>
        <v>0</v>
      </c>
      <c r="M17">
        <f t="shared" si="2"/>
        <v>2300</v>
      </c>
      <c r="N17">
        <f t="shared" si="3"/>
        <v>0</v>
      </c>
      <c r="O17">
        <f t="shared" si="4"/>
        <v>0</v>
      </c>
      <c r="P17" s="1" t="str">
        <f>IF(B17&lt;&gt;"",(IF((_xlfn.XLOOKUP(C17,'Loan Out'!A:A,'Loan Out'!L:L))="Bad debt","Bad debt",IF(M17&gt;0,"Pending","Settled"))),"")</f>
        <v>Pending</v>
      </c>
    </row>
    <row r="18" spans="1:16">
      <c r="A18" t="str">
        <f t="shared" si="0"/>
        <v>Entry17</v>
      </c>
      <c r="B18" t="s">
        <v>47</v>
      </c>
      <c r="C18" t="str">
        <f t="shared" si="1"/>
        <v>LN17</v>
      </c>
      <c r="D18">
        <f>IF(C18="","",(_xlfn.XLOOKUP(C18,'Loan Out'!A:A,'Loan Out'!J:J)))</f>
        <v>45717</v>
      </c>
      <c r="E18">
        <f>IF(C18="","",(_xlfn.XLOOKUP(C18,'Loan Out'!A:A,'Loan Out'!D:D)))</f>
        <v>1000</v>
      </c>
      <c r="F18">
        <f>IF(C18="","",(_xlfn.XLOOKUP(C18,'Loan Out'!A:A,'Loan Out'!E:E)))</f>
        <v>13</v>
      </c>
      <c r="G18">
        <f>IF(C18="","",(_xlfn.XLOOKUP(C18,'Loan Out'!A:A,'Loan Out'!F:F)))</f>
        <v>1013</v>
      </c>
      <c r="H18">
        <f>IF(C18="","",(_xlfn.XLOOKUP(C18,'Loan Out'!A:A,'Loan Out'!G:G)))</f>
        <v>0</v>
      </c>
      <c r="I18">
        <f>IF(C18="","",(_xlfn.XLOOKUP(C18,'Loan Out'!A:A,'Loan Out'!H:H)))</f>
        <v>0</v>
      </c>
      <c r="J18">
        <f>IF(C18="","",(_xlfn.XLOOKUP(C18,'Loan Out'!A:A,'Loan Out'!I:I)))</f>
        <v>1000</v>
      </c>
      <c r="K18">
        <f>IF(C18="","",(_xlfn.XLOOKUP(C18,'Loan Out'!A:A,'Loan Out'!J:J)))</f>
        <v>45717</v>
      </c>
      <c r="L18">
        <f>IF(C18&lt;&gt;"",(SUMIF(Payments!C:C,C18,Payments!G:G)),"")</f>
        <v>1000</v>
      </c>
      <c r="M18">
        <f t="shared" si="2"/>
        <v>0</v>
      </c>
      <c r="N18">
        <f t="shared" si="3"/>
        <v>0</v>
      </c>
      <c r="O18">
        <f t="shared" si="4"/>
        <v>0</v>
      </c>
      <c r="P18" s="1" t="str">
        <f>IF(B18&lt;&gt;"",(IF((_xlfn.XLOOKUP(C18,'Loan Out'!A:A,'Loan Out'!L:L))="Bad debt","Bad debt",IF(M18&gt;0,"Pending","Settled"))),"")</f>
        <v>Settled</v>
      </c>
    </row>
    <row r="19" spans="1:16">
      <c r="A19" t="str">
        <f t="shared" si="0"/>
        <v>Entry18</v>
      </c>
      <c r="B19" t="s">
        <v>64</v>
      </c>
      <c r="C19" t="str">
        <f t="shared" si="1"/>
        <v>LN18</v>
      </c>
      <c r="D19">
        <f>IF(C19="","",(_xlfn.XLOOKUP(C19,'Loan Out'!A:A,'Loan Out'!J:J)))</f>
        <v>46031</v>
      </c>
      <c r="E19">
        <f>IF(C19="","",(_xlfn.XLOOKUP(C19,'Loan Out'!A:A,'Loan Out'!D:D)))</f>
        <v>500</v>
      </c>
      <c r="F19">
        <f>IF(C19="","",(_xlfn.XLOOKUP(C19,'Loan Out'!A:A,'Loan Out'!E:E)))</f>
        <v>13</v>
      </c>
      <c r="G19">
        <f>IF(C19="","",(_xlfn.XLOOKUP(C19,'Loan Out'!A:A,'Loan Out'!F:F)))</f>
        <v>513</v>
      </c>
      <c r="H19">
        <f>IF(C19="","",(_xlfn.XLOOKUP(C19,'Loan Out'!A:A,'Loan Out'!G:G)))</f>
        <v>0</v>
      </c>
      <c r="I19">
        <f>IF(C19="","",(_xlfn.XLOOKUP(C19,'Loan Out'!A:A,'Loan Out'!H:H)))</f>
        <v>0</v>
      </c>
      <c r="J19">
        <f>IF(C19="","",(_xlfn.XLOOKUP(C19,'Loan Out'!A:A,'Loan Out'!I:I)))</f>
        <v>500</v>
      </c>
      <c r="K19">
        <f>IF(C19="","",(_xlfn.XLOOKUP(C19,'Loan Out'!A:A,'Loan Out'!J:J)))</f>
        <v>46031</v>
      </c>
      <c r="L19">
        <f>IF(C19&lt;&gt;"",(SUMIF(Payments!C:C,C19,Payments!G:G)),"")</f>
        <v>0</v>
      </c>
      <c r="M19">
        <f t="shared" si="2"/>
        <v>500</v>
      </c>
      <c r="N19">
        <f t="shared" si="3"/>
        <v>0</v>
      </c>
      <c r="O19">
        <f t="shared" si="4"/>
        <v>0</v>
      </c>
      <c r="P19" s="1" t="str">
        <f>IF(B19&lt;&gt;"",(IF((_xlfn.XLOOKUP(C19,'Loan Out'!A:A,'Loan Out'!L:L))="Bad debt","Bad debt",IF(M19&gt;0,"Pending","Settled"))),"")</f>
        <v>Pending</v>
      </c>
    </row>
    <row r="20" spans="1:16">
      <c r="A20" t="str">
        <f t="shared" si="0"/>
        <v>Entry19</v>
      </c>
      <c r="B20" t="s">
        <v>65</v>
      </c>
      <c r="C20" t="str">
        <f t="shared" si="1"/>
        <v>LN19</v>
      </c>
      <c r="D20">
        <f>IF(C20="","",(_xlfn.XLOOKUP(C20,'Loan Out'!A:A,'Loan Out'!J:J)))</f>
        <v>46039</v>
      </c>
      <c r="E20">
        <f>IF(C20="","",(_xlfn.XLOOKUP(C20,'Loan Out'!A:A,'Loan Out'!D:D)))</f>
        <v>1000</v>
      </c>
      <c r="F20">
        <f>IF(C20="","",(_xlfn.XLOOKUP(C20,'Loan Out'!A:A,'Loan Out'!E:E)))</f>
        <v>18</v>
      </c>
      <c r="G20">
        <f>IF(C20="","",(_xlfn.XLOOKUP(C20,'Loan Out'!A:A,'Loan Out'!F:F)))</f>
        <v>1018</v>
      </c>
      <c r="H20">
        <f>IF(C20="","",(_xlfn.XLOOKUP(C20,'Loan Out'!A:A,'Loan Out'!G:G)))</f>
        <v>0.15</v>
      </c>
      <c r="I20">
        <f>IF(C20="","",(_xlfn.XLOOKUP(C20,'Loan Out'!A:A,'Loan Out'!H:H)))</f>
        <v>150</v>
      </c>
      <c r="J20">
        <f>IF(C20="","",(_xlfn.XLOOKUP(C20,'Loan Out'!A:A,'Loan Out'!I:I)))</f>
        <v>1150</v>
      </c>
      <c r="K20">
        <f>IF(C20="","",(_xlfn.XLOOKUP(C20,'Loan Out'!A:A,'Loan Out'!J:J)))</f>
        <v>46039</v>
      </c>
      <c r="L20">
        <f>IF(C20&lt;&gt;"",(SUMIF(Payments!C:C,C20,Payments!G:G)),"")</f>
        <v>0</v>
      </c>
      <c r="M20">
        <f t="shared" si="2"/>
        <v>1150</v>
      </c>
      <c r="N20">
        <f t="shared" si="3"/>
        <v>0</v>
      </c>
      <c r="O20">
        <f t="shared" si="4"/>
        <v>0</v>
      </c>
      <c r="P20" s="1" t="str">
        <f>IF(B20&lt;&gt;"",(IF((_xlfn.XLOOKUP(C20,'Loan Out'!A:A,'Loan Out'!L:L))="Bad debt","Bad debt",IF(M20&gt;0,"Pending","Settled"))),"")</f>
        <v>Pending</v>
      </c>
    </row>
    <row r="21" spans="1:16">
      <c r="A21" t="str">
        <f t="shared" si="0"/>
        <v/>
      </c>
      <c r="C21" t="str">
        <f t="shared" si="1"/>
        <v/>
      </c>
      <c r="D21" t="str">
        <f>IF(C21="","",(_xlfn.XLOOKUP(C21,'Loan Out'!A:A,'Loan Out'!J:J)))</f>
        <v/>
      </c>
      <c r="E21" t="str">
        <f>IF(C21="","",(_xlfn.XLOOKUP(C21,'Loan Out'!A:A,'Loan Out'!D:D)))</f>
        <v/>
      </c>
      <c r="F21" t="str">
        <f>IF(C21="","",(_xlfn.XLOOKUP(C21,'Loan Out'!A:A,'Loan Out'!E:E)))</f>
        <v/>
      </c>
      <c r="G21" t="str">
        <f>IF(C21="","",(_xlfn.XLOOKUP(C21,'Loan Out'!A:A,'Loan Out'!F:F)))</f>
        <v/>
      </c>
      <c r="H21" t="str">
        <f>IF(C21="","",(_xlfn.XLOOKUP(C21,'Loan Out'!A:A,'Loan Out'!G:G)))</f>
        <v/>
      </c>
      <c r="I21" t="str">
        <f>IF(C21="","",(_xlfn.XLOOKUP(C21,'Loan Out'!A:A,'Loan Out'!H:H)))</f>
        <v/>
      </c>
      <c r="J21" t="str">
        <f>IF(C21="","",(_xlfn.XLOOKUP(C21,'Loan Out'!A:A,'Loan Out'!I:I)))</f>
        <v/>
      </c>
      <c r="K21" t="str">
        <f>IF(C21="","",(_xlfn.XLOOKUP(C21,'Loan Out'!A:A,'Loan Out'!J:J)))</f>
        <v/>
      </c>
      <c r="L21" t="str">
        <f>IF(C21&lt;&gt;"",(SUMIF(Payments!C:C,C21,Payments!G:G)),"")</f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P21" s="1" t="str">
        <f>IF(B21&lt;&gt;"",(IF((_xlfn.XLOOKUP(C21,'Loan Out'!A:A,'Loan Out'!L:L))="Bad debt","Bad debt",IF(M21&gt;0,"Pending","Settled"))),"")</f>
        <v/>
      </c>
    </row>
    <row r="22" spans="1:16">
      <c r="A22" t="str">
        <f t="shared" si="0"/>
        <v/>
      </c>
      <c r="C22" t="str">
        <f t="shared" si="1"/>
        <v/>
      </c>
      <c r="D22" t="str">
        <f>IF(C22="","",(_xlfn.XLOOKUP(C22,'Loan Out'!A:A,'Loan Out'!J:J)))</f>
        <v/>
      </c>
      <c r="E22" t="str">
        <f>IF(C22="","",(_xlfn.XLOOKUP(C22,'Loan Out'!A:A,'Loan Out'!D:D)))</f>
        <v/>
      </c>
      <c r="F22" t="str">
        <f>IF(C22="","",(_xlfn.XLOOKUP(C22,'Loan Out'!A:A,'Loan Out'!E:E)))</f>
        <v/>
      </c>
      <c r="G22" t="str">
        <f>IF(C22="","",(_xlfn.XLOOKUP(C22,'Loan Out'!A:A,'Loan Out'!F:F)))</f>
        <v/>
      </c>
      <c r="H22" t="str">
        <f>IF(C22="","",(_xlfn.XLOOKUP(C22,'Loan Out'!A:A,'Loan Out'!G:G)))</f>
        <v/>
      </c>
      <c r="I22" t="str">
        <f>IF(C22="","",(_xlfn.XLOOKUP(C22,'Loan Out'!A:A,'Loan Out'!H:H)))</f>
        <v/>
      </c>
      <c r="J22" t="str">
        <f>IF(C22="","",(_xlfn.XLOOKUP(C22,'Loan Out'!A:A,'Loan Out'!I:I)))</f>
        <v/>
      </c>
      <c r="K22" t="str">
        <f>IF(C22="","",(_xlfn.XLOOKUP(C22,'Loan Out'!A:A,'Loan Out'!J:J)))</f>
        <v/>
      </c>
      <c r="L22" t="str">
        <f>IF(C22&lt;&gt;"",(SUMIF(Payments!C:C,C22,Payments!G:G)),"")</f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P22" s="1" t="str">
        <f>IF(B22&lt;&gt;"",(IF((_xlfn.XLOOKUP(C22,'Loan Out'!A:A,'Loan Out'!L:L))="Bad debt","Bad debt",IF(M22&gt;0,"Pending","Settled"))),"")</f>
        <v/>
      </c>
    </row>
    <row r="23" spans="1:16">
      <c r="A23" t="str">
        <f t="shared" si="0"/>
        <v/>
      </c>
      <c r="C23" t="str">
        <f t="shared" si="1"/>
        <v/>
      </c>
      <c r="D23" t="str">
        <f>IF(C23="","",(_xlfn.XLOOKUP(C23,'Loan Out'!A:A,'Loan Out'!J:J)))</f>
        <v/>
      </c>
      <c r="E23" t="str">
        <f>IF(C23="","",(_xlfn.XLOOKUP(C23,'Loan Out'!A:A,'Loan Out'!D:D)))</f>
        <v/>
      </c>
      <c r="F23" t="str">
        <f>IF(C23="","",(_xlfn.XLOOKUP(C23,'Loan Out'!A:A,'Loan Out'!E:E)))</f>
        <v/>
      </c>
      <c r="G23" t="str">
        <f>IF(C23="","",(_xlfn.XLOOKUP(C23,'Loan Out'!A:A,'Loan Out'!F:F)))</f>
        <v/>
      </c>
      <c r="H23" t="str">
        <f>IF(C23="","",(_xlfn.XLOOKUP(C23,'Loan Out'!A:A,'Loan Out'!G:G)))</f>
        <v/>
      </c>
      <c r="I23" t="str">
        <f>IF(C23="","",(_xlfn.XLOOKUP(C23,'Loan Out'!A:A,'Loan Out'!H:H)))</f>
        <v/>
      </c>
      <c r="J23" t="str">
        <f>IF(C23="","",(_xlfn.XLOOKUP(C23,'Loan Out'!A:A,'Loan Out'!I:I)))</f>
        <v/>
      </c>
      <c r="K23" t="str">
        <f>IF(C23="","",(_xlfn.XLOOKUP(C23,'Loan Out'!A:A,'Loan Out'!J:J)))</f>
        <v/>
      </c>
      <c r="L23" t="str">
        <f>IF(C23&lt;&gt;"",(SUMIF(Payments!C:C,C23,Payments!G:G)),"")</f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P23" s="1" t="str">
        <f>IF(B23&lt;&gt;"",(IF((_xlfn.XLOOKUP(C23,'Loan Out'!A:A,'Loan Out'!L:L))="Bad debt","Bad debt",IF(M23&gt;0,"Pending","Settled"))),"")</f>
        <v/>
      </c>
    </row>
    <row r="24" spans="1:16">
      <c r="A24" t="str">
        <f t="shared" si="0"/>
        <v/>
      </c>
      <c r="C24" t="str">
        <f t="shared" si="1"/>
        <v/>
      </c>
      <c r="D24" t="str">
        <f>IF(C24="","",(_xlfn.XLOOKUP(C24,'Loan Out'!A:A,'Loan Out'!J:J)))</f>
        <v/>
      </c>
      <c r="E24" t="str">
        <f>IF(C24="","",(_xlfn.XLOOKUP(C24,'Loan Out'!A:A,'Loan Out'!D:D)))</f>
        <v/>
      </c>
      <c r="F24" t="str">
        <f>IF(C24="","",(_xlfn.XLOOKUP(C24,'Loan Out'!A:A,'Loan Out'!E:E)))</f>
        <v/>
      </c>
      <c r="G24" t="str">
        <f>IF(C24="","",(_xlfn.XLOOKUP(C24,'Loan Out'!A:A,'Loan Out'!F:F)))</f>
        <v/>
      </c>
      <c r="H24" t="str">
        <f>IF(C24="","",(_xlfn.XLOOKUP(C24,'Loan Out'!A:A,'Loan Out'!G:G)))</f>
        <v/>
      </c>
      <c r="I24" t="str">
        <f>IF(C24="","",(_xlfn.XLOOKUP(C24,'Loan Out'!A:A,'Loan Out'!H:H)))</f>
        <v/>
      </c>
      <c r="J24" t="str">
        <f>IF(C24="","",(_xlfn.XLOOKUP(C24,'Loan Out'!A:A,'Loan Out'!I:I)))</f>
        <v/>
      </c>
      <c r="K24" t="str">
        <f>IF(C24="","",(_xlfn.XLOOKUP(C24,'Loan Out'!A:A,'Loan Out'!J:J)))</f>
        <v/>
      </c>
      <c r="L24" t="str">
        <f>IF(C24&lt;&gt;"",(SUMIF(Payments!C:C,C24,Payments!G:G)),"")</f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P24" s="1" t="str">
        <f>IF(B24&lt;&gt;"",(IF((_xlfn.XLOOKUP(C24,'Loan Out'!A:A,'Loan Out'!L:L))="Bad debt","Bad debt",IF(M24&gt;0,"Pending","Settled"))),"")</f>
        <v/>
      </c>
    </row>
    <row r="25" spans="1:16">
      <c r="A25" t="str">
        <f t="shared" si="0"/>
        <v/>
      </c>
      <c r="C25" t="str">
        <f t="shared" si="1"/>
        <v/>
      </c>
      <c r="D25" t="str">
        <f>IF(C25="","",(_xlfn.XLOOKUP(C25,'Loan Out'!A:A,'Loan Out'!J:J)))</f>
        <v/>
      </c>
      <c r="E25" t="str">
        <f>IF(C25="","",(_xlfn.XLOOKUP(C25,'Loan Out'!A:A,'Loan Out'!D:D)))</f>
        <v/>
      </c>
      <c r="F25" t="str">
        <f>IF(C25="","",(_xlfn.XLOOKUP(C25,'Loan Out'!A:A,'Loan Out'!E:E)))</f>
        <v/>
      </c>
      <c r="G25" t="str">
        <f>IF(C25="","",(_xlfn.XLOOKUP(C25,'Loan Out'!A:A,'Loan Out'!F:F)))</f>
        <v/>
      </c>
      <c r="H25" t="str">
        <f>IF(C25="","",(_xlfn.XLOOKUP(C25,'Loan Out'!A:A,'Loan Out'!G:G)))</f>
        <v/>
      </c>
      <c r="I25" t="str">
        <f>IF(C25="","",(_xlfn.XLOOKUP(C25,'Loan Out'!A:A,'Loan Out'!H:H)))</f>
        <v/>
      </c>
      <c r="J25" t="str">
        <f>IF(C25="","",(_xlfn.XLOOKUP(C25,'Loan Out'!A:A,'Loan Out'!I:I)))</f>
        <v/>
      </c>
      <c r="K25" t="str">
        <f>IF(C25="","",(_xlfn.XLOOKUP(C25,'Loan Out'!A:A,'Loan Out'!J:J)))</f>
        <v/>
      </c>
      <c r="L25" t="str">
        <f>IF(C25&lt;&gt;"",(SUMIF(Payments!C:C,C25,Payments!G:G)),"")</f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P25" s="1" t="str">
        <f>IF(B25&lt;&gt;"",(IF((_xlfn.XLOOKUP(C25,'Loan Out'!A:A,'Loan Out'!L:L))="Bad debt","Bad debt",IF(M25&gt;0,"Pending","Settled"))),"")</f>
        <v/>
      </c>
    </row>
    <row r="26" spans="1:16">
      <c r="A26" t="str">
        <f t="shared" si="0"/>
        <v/>
      </c>
      <c r="C26" t="str">
        <f t="shared" si="1"/>
        <v/>
      </c>
      <c r="D26" t="str">
        <f>IF(C26="","",(_xlfn.XLOOKUP(C26,'Loan Out'!A:A,'Loan Out'!J:J)))</f>
        <v/>
      </c>
      <c r="E26" t="str">
        <f>IF(C26="","",(_xlfn.XLOOKUP(C26,'Loan Out'!A:A,'Loan Out'!D:D)))</f>
        <v/>
      </c>
      <c r="F26" t="str">
        <f>IF(C26="","",(_xlfn.XLOOKUP(C26,'Loan Out'!A:A,'Loan Out'!E:E)))</f>
        <v/>
      </c>
      <c r="G26" t="str">
        <f>IF(C26="","",(_xlfn.XLOOKUP(C26,'Loan Out'!A:A,'Loan Out'!F:F)))</f>
        <v/>
      </c>
      <c r="H26" t="str">
        <f>IF(C26="","",(_xlfn.XLOOKUP(C26,'Loan Out'!A:A,'Loan Out'!G:G)))</f>
        <v/>
      </c>
      <c r="I26" t="str">
        <f>IF(C26="","",(_xlfn.XLOOKUP(C26,'Loan Out'!A:A,'Loan Out'!H:H)))</f>
        <v/>
      </c>
      <c r="J26" t="str">
        <f>IF(C26="","",(_xlfn.XLOOKUP(C26,'Loan Out'!A:A,'Loan Out'!I:I)))</f>
        <v/>
      </c>
      <c r="K26" t="str">
        <f>IF(C26="","",(_xlfn.XLOOKUP(C26,'Loan Out'!A:A,'Loan Out'!J:J)))</f>
        <v/>
      </c>
      <c r="L26" t="str">
        <f>IF(C26&lt;&gt;"",(SUMIF(Payments!C:C,C26,Payments!G:G)),"")</f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P26" s="1" t="str">
        <f>IF(B26&lt;&gt;"",(IF((_xlfn.XLOOKUP(C26,'Loan Out'!A:A,'Loan Out'!L:L))="Bad debt","Bad debt",IF(M26&gt;0,"Pending","Settled"))),"")</f>
        <v/>
      </c>
    </row>
    <row r="27" spans="1:16">
      <c r="A27" t="str">
        <f t="shared" si="0"/>
        <v/>
      </c>
      <c r="C27" t="str">
        <f t="shared" si="1"/>
        <v/>
      </c>
      <c r="D27" t="str">
        <f>IF(C27="","",(_xlfn.XLOOKUP(C27,'Loan Out'!A:A,'Loan Out'!J:J)))</f>
        <v/>
      </c>
      <c r="E27" t="str">
        <f>IF(C27="","",(_xlfn.XLOOKUP(C27,'Loan Out'!A:A,'Loan Out'!D:D)))</f>
        <v/>
      </c>
      <c r="F27" t="str">
        <f>IF(C27="","",(_xlfn.XLOOKUP(C27,'Loan Out'!A:A,'Loan Out'!E:E)))</f>
        <v/>
      </c>
      <c r="G27" t="str">
        <f>IF(C27="","",(_xlfn.XLOOKUP(C27,'Loan Out'!A:A,'Loan Out'!F:F)))</f>
        <v/>
      </c>
      <c r="H27" t="str">
        <f>IF(C27="","",(_xlfn.XLOOKUP(C27,'Loan Out'!A:A,'Loan Out'!G:G)))</f>
        <v/>
      </c>
      <c r="I27" t="str">
        <f>IF(C27="","",(_xlfn.XLOOKUP(C27,'Loan Out'!A:A,'Loan Out'!H:H)))</f>
        <v/>
      </c>
      <c r="J27" t="str">
        <f>IF(C27="","",(_xlfn.XLOOKUP(C27,'Loan Out'!A:A,'Loan Out'!I:I)))</f>
        <v/>
      </c>
      <c r="K27" t="str">
        <f>IF(C27="","",(_xlfn.XLOOKUP(C27,'Loan Out'!A:A,'Loan Out'!J:J)))</f>
        <v/>
      </c>
      <c r="L27" t="str">
        <f>IF(C27&lt;&gt;"",(SUMIF(Payments!C:C,C27,Payments!G:G)),"")</f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P27" s="1" t="str">
        <f>IF(B27&lt;&gt;"",(IF((_xlfn.XLOOKUP(C27,'Loan Out'!A:A,'Loan Out'!L:L))="Bad debt","Bad debt",IF(M27&gt;0,"Pending","Settled"))),"")</f>
        <v/>
      </c>
    </row>
    <row r="28" spans="1:16">
      <c r="A28" t="str">
        <f t="shared" si="0"/>
        <v/>
      </c>
      <c r="C28" t="str">
        <f t="shared" si="1"/>
        <v/>
      </c>
      <c r="D28" t="str">
        <f>IF(C28="","",(_xlfn.XLOOKUP(C28,'Loan Out'!A:A,'Loan Out'!J:J)))</f>
        <v/>
      </c>
      <c r="E28" t="str">
        <f>IF(C28="","",(_xlfn.XLOOKUP(C28,'Loan Out'!A:A,'Loan Out'!D:D)))</f>
        <v/>
      </c>
      <c r="F28" t="str">
        <f>IF(C28="","",(_xlfn.XLOOKUP(C28,'Loan Out'!A:A,'Loan Out'!E:E)))</f>
        <v/>
      </c>
      <c r="G28" t="str">
        <f>IF(C28="","",(_xlfn.XLOOKUP(C28,'Loan Out'!A:A,'Loan Out'!F:F)))</f>
        <v/>
      </c>
      <c r="H28" t="str">
        <f>IF(C28="","",(_xlfn.XLOOKUP(C28,'Loan Out'!A:A,'Loan Out'!G:G)))</f>
        <v/>
      </c>
      <c r="I28" t="str">
        <f>IF(C28="","",(_xlfn.XLOOKUP(C28,'Loan Out'!A:A,'Loan Out'!H:H)))</f>
        <v/>
      </c>
      <c r="J28" t="str">
        <f>IF(C28="","",(_xlfn.XLOOKUP(C28,'Loan Out'!A:A,'Loan Out'!I:I)))</f>
        <v/>
      </c>
      <c r="K28" t="str">
        <f>IF(C28="","",(_xlfn.XLOOKUP(C28,'Loan Out'!A:A,'Loan Out'!J:J)))</f>
        <v/>
      </c>
      <c r="L28" t="str">
        <f>IF(C28&lt;&gt;"",(SUMIF(Payments!C:C,C28,Payments!G:G)),"")</f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P28" s="1" t="str">
        <f>IF(B28&lt;&gt;"",(IF((_xlfn.XLOOKUP(C28,'Loan Out'!A:A,'Loan Out'!L:L))="Bad debt","Bad debt",IF(M28&gt;0,"Pending","Settled"))),"")</f>
        <v/>
      </c>
    </row>
    <row r="29" spans="1:16">
      <c r="A29" t="str">
        <f t="shared" si="0"/>
        <v/>
      </c>
      <c r="C29" t="str">
        <f t="shared" si="1"/>
        <v/>
      </c>
      <c r="D29" t="str">
        <f>IF(C29="","",(_xlfn.XLOOKUP(C29,'Loan Out'!A:A,'Loan Out'!J:J)))</f>
        <v/>
      </c>
      <c r="E29" t="str">
        <f>IF(C29="","",(_xlfn.XLOOKUP(C29,'Loan Out'!A:A,'Loan Out'!D:D)))</f>
        <v/>
      </c>
      <c r="F29" t="str">
        <f>IF(C29="","",(_xlfn.XLOOKUP(C29,'Loan Out'!A:A,'Loan Out'!E:E)))</f>
        <v/>
      </c>
      <c r="G29" t="str">
        <f>IF(C29="","",(_xlfn.XLOOKUP(C29,'Loan Out'!A:A,'Loan Out'!F:F)))</f>
        <v/>
      </c>
      <c r="H29" t="str">
        <f>IF(C29="","",(_xlfn.XLOOKUP(C29,'Loan Out'!A:A,'Loan Out'!G:G)))</f>
        <v/>
      </c>
      <c r="I29" t="str">
        <f>IF(C29="","",(_xlfn.XLOOKUP(C29,'Loan Out'!A:A,'Loan Out'!H:H)))</f>
        <v/>
      </c>
      <c r="J29" t="str">
        <f>IF(C29="","",(_xlfn.XLOOKUP(C29,'Loan Out'!A:A,'Loan Out'!I:I)))</f>
        <v/>
      </c>
      <c r="K29" t="str">
        <f>IF(C29="","",(_xlfn.XLOOKUP(C29,'Loan Out'!A:A,'Loan Out'!J:J)))</f>
        <v/>
      </c>
      <c r="L29" t="str">
        <f>IF(C29&lt;&gt;"",(SUMIF(Payments!C:C,C29,Payments!G:G)),"")</f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P29" s="1" t="str">
        <f>IF(B29&lt;&gt;"",(IF((_xlfn.XLOOKUP(C29,'Loan Out'!A:A,'Loan Out'!L:L))="Bad debt","Bad debt",IF(M29&gt;0,"Pending","Settled"))),"")</f>
        <v/>
      </c>
    </row>
    <row r="30" spans="1:16">
      <c r="A30" t="str">
        <f t="shared" si="0"/>
        <v/>
      </c>
      <c r="C30" t="str">
        <f t="shared" si="1"/>
        <v/>
      </c>
      <c r="D30" t="str">
        <f>IF(C30="","",(_xlfn.XLOOKUP(C30,'Loan Out'!A:A,'Loan Out'!J:J)))</f>
        <v/>
      </c>
      <c r="E30" t="str">
        <f>IF(C30="","",(_xlfn.XLOOKUP(C30,'Loan Out'!A:A,'Loan Out'!D:D)))</f>
        <v/>
      </c>
      <c r="F30" t="str">
        <f>IF(C30="","",(_xlfn.XLOOKUP(C30,'Loan Out'!A:A,'Loan Out'!E:E)))</f>
        <v/>
      </c>
      <c r="G30" t="str">
        <f>IF(C30="","",(_xlfn.XLOOKUP(C30,'Loan Out'!A:A,'Loan Out'!F:F)))</f>
        <v/>
      </c>
      <c r="H30" t="str">
        <f>IF(C30="","",(_xlfn.XLOOKUP(C30,'Loan Out'!A:A,'Loan Out'!G:G)))</f>
        <v/>
      </c>
      <c r="I30" t="str">
        <f>IF(C30="","",(_xlfn.XLOOKUP(C30,'Loan Out'!A:A,'Loan Out'!H:H)))</f>
        <v/>
      </c>
      <c r="J30" t="str">
        <f>IF(C30="","",(_xlfn.XLOOKUP(C30,'Loan Out'!A:A,'Loan Out'!I:I)))</f>
        <v/>
      </c>
      <c r="K30" t="str">
        <f>IF(C30="","",(_xlfn.XLOOKUP(C30,'Loan Out'!A:A,'Loan Out'!J:J)))</f>
        <v/>
      </c>
      <c r="L30" t="str">
        <f>IF(C30&lt;&gt;"",(SUMIF(Payments!C:C,C30,Payments!G:G)),"")</f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P30" s="1" t="str">
        <f>IF(B30&lt;&gt;"",(IF((_xlfn.XLOOKUP(C30,'Loan Out'!A:A,'Loan Out'!L:L))="Bad debt","Bad debt",IF(M30&gt;0,"Pending","Settled"))),"")</f>
        <v/>
      </c>
    </row>
    <row r="31" spans="1:16">
      <c r="A31" t="str">
        <f t="shared" si="0"/>
        <v/>
      </c>
      <c r="C31" t="str">
        <f t="shared" si="1"/>
        <v/>
      </c>
      <c r="D31" t="str">
        <f>IF(C31="","",(_xlfn.XLOOKUP(C31,'Loan Out'!A:A,'Loan Out'!J:J)))</f>
        <v/>
      </c>
      <c r="E31" t="str">
        <f>IF(C31="","",(_xlfn.XLOOKUP(C31,'Loan Out'!A:A,'Loan Out'!D:D)))</f>
        <v/>
      </c>
      <c r="F31" t="str">
        <f>IF(C31="","",(_xlfn.XLOOKUP(C31,'Loan Out'!A:A,'Loan Out'!E:E)))</f>
        <v/>
      </c>
      <c r="G31" t="str">
        <f>IF(C31="","",(_xlfn.XLOOKUP(C31,'Loan Out'!A:A,'Loan Out'!F:F)))</f>
        <v/>
      </c>
      <c r="H31" t="str">
        <f>IF(C31="","",(_xlfn.XLOOKUP(C31,'Loan Out'!A:A,'Loan Out'!G:G)))</f>
        <v/>
      </c>
      <c r="I31" t="str">
        <f>IF(C31="","",(_xlfn.XLOOKUP(C31,'Loan Out'!A:A,'Loan Out'!H:H)))</f>
        <v/>
      </c>
      <c r="J31" t="str">
        <f>IF(C31="","",(_xlfn.XLOOKUP(C31,'Loan Out'!A:A,'Loan Out'!I:I)))</f>
        <v/>
      </c>
      <c r="K31" t="str">
        <f>IF(C31="","",(_xlfn.XLOOKUP(C31,'Loan Out'!A:A,'Loan Out'!J:J)))</f>
        <v/>
      </c>
      <c r="L31" t="str">
        <f>IF(C31&lt;&gt;"",(SUMIF(Payments!C:C,C31,Payments!G:G)),"")</f>
        <v/>
      </c>
      <c r="M31" t="str">
        <f t="shared" si="2"/>
        <v/>
      </c>
      <c r="N31" t="str">
        <f t="shared" si="3"/>
        <v/>
      </c>
      <c r="O31" t="str">
        <f t="shared" si="4"/>
        <v/>
      </c>
      <c r="P31" s="1" t="str">
        <f>IF(B31&lt;&gt;"",(IF((_xlfn.XLOOKUP(C31,'Loan Out'!A:A,'Loan Out'!L:L))="Bad debt","Bad debt",IF(M31&gt;0,"Pending","Settled"))),"")</f>
        <v/>
      </c>
    </row>
    <row r="32" spans="1:16">
      <c r="A32" t="str">
        <f t="shared" si="0"/>
        <v/>
      </c>
      <c r="C32" t="str">
        <f t="shared" si="1"/>
        <v/>
      </c>
      <c r="D32" t="str">
        <f>IF(C32="","",(_xlfn.XLOOKUP(C32,'Loan Out'!A:A,'Loan Out'!J:J)))</f>
        <v/>
      </c>
      <c r="E32" t="str">
        <f>IF(C32="","",(_xlfn.XLOOKUP(C32,'Loan Out'!A:A,'Loan Out'!D:D)))</f>
        <v/>
      </c>
      <c r="F32" t="str">
        <f>IF(C32="","",(_xlfn.XLOOKUP(C32,'Loan Out'!A:A,'Loan Out'!E:E)))</f>
        <v/>
      </c>
      <c r="G32" t="str">
        <f>IF(C32="","",(_xlfn.XLOOKUP(C32,'Loan Out'!A:A,'Loan Out'!F:F)))</f>
        <v/>
      </c>
      <c r="H32" t="str">
        <f>IF(C32="","",(_xlfn.XLOOKUP(C32,'Loan Out'!A:A,'Loan Out'!G:G)))</f>
        <v/>
      </c>
      <c r="I32" t="str">
        <f>IF(C32="","",(_xlfn.XLOOKUP(C32,'Loan Out'!A:A,'Loan Out'!H:H)))</f>
        <v/>
      </c>
      <c r="J32" t="str">
        <f>IF(C32="","",(_xlfn.XLOOKUP(C32,'Loan Out'!A:A,'Loan Out'!I:I)))</f>
        <v/>
      </c>
      <c r="K32" t="str">
        <f>IF(C32="","",(_xlfn.XLOOKUP(C32,'Loan Out'!A:A,'Loan Out'!J:J)))</f>
        <v/>
      </c>
      <c r="L32" t="str">
        <f>IF(C32&lt;&gt;"",(SUMIF(Payments!C:C,C32,Payments!G:G)),"")</f>
        <v/>
      </c>
      <c r="M32" t="str">
        <f t="shared" si="2"/>
        <v/>
      </c>
      <c r="N32" t="str">
        <f t="shared" si="3"/>
        <v/>
      </c>
      <c r="O32" t="str">
        <f t="shared" si="4"/>
        <v/>
      </c>
      <c r="P32" s="1" t="str">
        <f>IF(B32&lt;&gt;"",(IF((_xlfn.XLOOKUP(C32,'Loan Out'!A:A,'Loan Out'!L:L))="Bad debt","Bad debt",IF(M32&gt;0,"Pending","Settled"))),"")</f>
        <v/>
      </c>
    </row>
    <row r="33" spans="1:16">
      <c r="A33" t="str">
        <f t="shared" si="0"/>
        <v/>
      </c>
      <c r="C33" t="str">
        <f t="shared" si="1"/>
        <v/>
      </c>
      <c r="D33" t="str">
        <f>IF(C33="","",(_xlfn.XLOOKUP(C33,'Loan Out'!A:A,'Loan Out'!J:J)))</f>
        <v/>
      </c>
      <c r="E33" t="str">
        <f>IF(C33="","",(_xlfn.XLOOKUP(C33,'Loan Out'!A:A,'Loan Out'!D:D)))</f>
        <v/>
      </c>
      <c r="F33" t="str">
        <f>IF(C33="","",(_xlfn.XLOOKUP(C33,'Loan Out'!A:A,'Loan Out'!E:E)))</f>
        <v/>
      </c>
      <c r="G33" t="str">
        <f>IF(C33="","",(_xlfn.XLOOKUP(C33,'Loan Out'!A:A,'Loan Out'!F:F)))</f>
        <v/>
      </c>
      <c r="H33" t="str">
        <f>IF(C33="","",(_xlfn.XLOOKUP(C33,'Loan Out'!A:A,'Loan Out'!G:G)))</f>
        <v/>
      </c>
      <c r="I33" t="str">
        <f>IF(C33="","",(_xlfn.XLOOKUP(C33,'Loan Out'!A:A,'Loan Out'!H:H)))</f>
        <v/>
      </c>
      <c r="J33" t="str">
        <f>IF(C33="","",(_xlfn.XLOOKUP(C33,'Loan Out'!A:A,'Loan Out'!I:I)))</f>
        <v/>
      </c>
      <c r="K33" t="str">
        <f>IF(C33="","",(_xlfn.XLOOKUP(C33,'Loan Out'!A:A,'Loan Out'!J:J)))</f>
        <v/>
      </c>
      <c r="L33" t="str">
        <f>IF(C33&lt;&gt;"",(SUMIF(Payments!C:C,C33,Payments!G:G)),"")</f>
        <v/>
      </c>
      <c r="M33" t="str">
        <f t="shared" si="2"/>
        <v/>
      </c>
      <c r="N33" t="str">
        <f t="shared" si="3"/>
        <v/>
      </c>
      <c r="O33" t="str">
        <f t="shared" si="4"/>
        <v/>
      </c>
      <c r="P33" s="1" t="str">
        <f>IF(B33&lt;&gt;"",(IF((_xlfn.XLOOKUP(C33,'Loan Out'!A:A,'Loan Out'!L:L))="Bad debt","Bad debt",IF(M33&gt;0,"Pending","Settled"))),"")</f>
        <v/>
      </c>
    </row>
    <row r="34" spans="1:16">
      <c r="A34" t="str">
        <f t="shared" si="0"/>
        <v/>
      </c>
      <c r="C34" t="str">
        <f t="shared" si="1"/>
        <v/>
      </c>
      <c r="D34" t="str">
        <f>IF(C34="","",(_xlfn.XLOOKUP(C34,'Loan Out'!A:A,'Loan Out'!J:J)))</f>
        <v/>
      </c>
      <c r="E34" t="str">
        <f>IF(C34="","",(_xlfn.XLOOKUP(C34,'Loan Out'!A:A,'Loan Out'!D:D)))</f>
        <v/>
      </c>
      <c r="F34" t="str">
        <f>IF(C34="","",(_xlfn.XLOOKUP(C34,'Loan Out'!A:A,'Loan Out'!E:E)))</f>
        <v/>
      </c>
      <c r="G34" t="str">
        <f>IF(C34="","",(_xlfn.XLOOKUP(C34,'Loan Out'!A:A,'Loan Out'!F:F)))</f>
        <v/>
      </c>
      <c r="H34" t="str">
        <f>IF(C34="","",(_xlfn.XLOOKUP(C34,'Loan Out'!A:A,'Loan Out'!G:G)))</f>
        <v/>
      </c>
      <c r="I34" t="str">
        <f>IF(C34="","",(_xlfn.XLOOKUP(C34,'Loan Out'!A:A,'Loan Out'!H:H)))</f>
        <v/>
      </c>
      <c r="J34" t="str">
        <f>IF(C34="","",(_xlfn.XLOOKUP(C34,'Loan Out'!A:A,'Loan Out'!I:I)))</f>
        <v/>
      </c>
      <c r="K34" t="str">
        <f>IF(C34="","",(_xlfn.XLOOKUP(C34,'Loan Out'!A:A,'Loan Out'!J:J)))</f>
        <v/>
      </c>
      <c r="L34" t="str">
        <f>IF(C34&lt;&gt;"",(SUMIF(Payments!C:C,C34,Payments!G:G)),"")</f>
        <v/>
      </c>
      <c r="M34" t="str">
        <f t="shared" si="2"/>
        <v/>
      </c>
      <c r="N34" t="str">
        <f t="shared" si="3"/>
        <v/>
      </c>
      <c r="O34" t="str">
        <f t="shared" si="4"/>
        <v/>
      </c>
      <c r="P34" s="1" t="str">
        <f>IF(B34&lt;&gt;"",(IF((_xlfn.XLOOKUP(C34,'Loan Out'!A:A,'Loan Out'!L:L))="Bad debt","Bad debt",IF(M34&gt;0,"Pending","Settled"))),"")</f>
        <v/>
      </c>
    </row>
    <row r="35" spans="1:16">
      <c r="A35" t="str">
        <f t="shared" si="0"/>
        <v/>
      </c>
      <c r="C35" t="str">
        <f t="shared" si="1"/>
        <v/>
      </c>
      <c r="D35" t="str">
        <f>IF(C35="","",(_xlfn.XLOOKUP(C35,'Loan Out'!A:A,'Loan Out'!J:J)))</f>
        <v/>
      </c>
      <c r="E35" t="str">
        <f>IF(C35="","",(_xlfn.XLOOKUP(C35,'Loan Out'!A:A,'Loan Out'!D:D)))</f>
        <v/>
      </c>
      <c r="F35" t="str">
        <f>IF(C35="","",(_xlfn.XLOOKUP(C35,'Loan Out'!A:A,'Loan Out'!E:E)))</f>
        <v/>
      </c>
      <c r="G35" t="str">
        <f>IF(C35="","",(_xlfn.XLOOKUP(C35,'Loan Out'!A:A,'Loan Out'!F:F)))</f>
        <v/>
      </c>
      <c r="H35" t="str">
        <f>IF(C35="","",(_xlfn.XLOOKUP(C35,'Loan Out'!A:A,'Loan Out'!G:G)))</f>
        <v/>
      </c>
      <c r="I35" t="str">
        <f>IF(C35="","",(_xlfn.XLOOKUP(C35,'Loan Out'!A:A,'Loan Out'!H:H)))</f>
        <v/>
      </c>
      <c r="J35" t="str">
        <f>IF(C35="","",(_xlfn.XLOOKUP(C35,'Loan Out'!A:A,'Loan Out'!I:I)))</f>
        <v/>
      </c>
      <c r="K35" t="str">
        <f>IF(C35="","",(_xlfn.XLOOKUP(C35,'Loan Out'!A:A,'Loan Out'!J:J)))</f>
        <v/>
      </c>
      <c r="L35" t="str">
        <f>IF(C35&lt;&gt;"",(SUMIF(Payments!C:C,C35,Payments!G:G)),"")</f>
        <v/>
      </c>
      <c r="M35" t="str">
        <f t="shared" si="2"/>
        <v/>
      </c>
      <c r="N35" t="str">
        <f t="shared" si="3"/>
        <v/>
      </c>
      <c r="O35" t="str">
        <f t="shared" si="4"/>
        <v/>
      </c>
      <c r="P35" s="1" t="str">
        <f>IF(B35&lt;&gt;"",(IF((_xlfn.XLOOKUP(C35,'Loan Out'!A:A,'Loan Out'!L:L))="Bad debt","Bad debt",IF(M35&gt;0,"Pending","Settled"))),"")</f>
        <v/>
      </c>
    </row>
    <row r="36" spans="1:16">
      <c r="A36" t="str">
        <f t="shared" si="0"/>
        <v/>
      </c>
      <c r="C36" t="str">
        <f t="shared" si="1"/>
        <v/>
      </c>
      <c r="D36" t="str">
        <f>IF(C36="","",(_xlfn.XLOOKUP(C36,'Loan Out'!A:A,'Loan Out'!J:J)))</f>
        <v/>
      </c>
      <c r="E36" t="str">
        <f>IF(C36="","",(_xlfn.XLOOKUP(C36,'Loan Out'!A:A,'Loan Out'!D:D)))</f>
        <v/>
      </c>
      <c r="F36" t="str">
        <f>IF(C36="","",(_xlfn.XLOOKUP(C36,'Loan Out'!A:A,'Loan Out'!E:E)))</f>
        <v/>
      </c>
      <c r="G36" t="str">
        <f>IF(C36="","",(_xlfn.XLOOKUP(C36,'Loan Out'!A:A,'Loan Out'!F:F)))</f>
        <v/>
      </c>
      <c r="H36" t="str">
        <f>IF(C36="","",(_xlfn.XLOOKUP(C36,'Loan Out'!A:A,'Loan Out'!G:G)))</f>
        <v/>
      </c>
      <c r="I36" t="str">
        <f>IF(C36="","",(_xlfn.XLOOKUP(C36,'Loan Out'!A:A,'Loan Out'!H:H)))</f>
        <v/>
      </c>
      <c r="J36" t="str">
        <f>IF(C36="","",(_xlfn.XLOOKUP(C36,'Loan Out'!A:A,'Loan Out'!I:I)))</f>
        <v/>
      </c>
      <c r="K36" t="str">
        <f>IF(C36="","",(_xlfn.XLOOKUP(C36,'Loan Out'!A:A,'Loan Out'!J:J)))</f>
        <v/>
      </c>
      <c r="L36" t="str">
        <f>IF(C36&lt;&gt;"",(SUMIF(Payments!C:C,C36,Payments!G:G)),"")</f>
        <v/>
      </c>
      <c r="M36" t="str">
        <f t="shared" si="2"/>
        <v/>
      </c>
      <c r="N36" t="str">
        <f t="shared" si="3"/>
        <v/>
      </c>
      <c r="O36" t="str">
        <f t="shared" si="4"/>
        <v/>
      </c>
      <c r="P36" s="1" t="str">
        <f>IF(B36&lt;&gt;"",(IF((_xlfn.XLOOKUP(C36,'Loan Out'!A:A,'Loan Out'!L:L))="Bad debt","Bad debt",IF(M36&gt;0,"Pending","Settled"))),"")</f>
        <v/>
      </c>
    </row>
    <row r="37" spans="1:16">
      <c r="A37" t="str">
        <f t="shared" si="0"/>
        <v/>
      </c>
      <c r="C37" t="str">
        <f t="shared" si="1"/>
        <v/>
      </c>
      <c r="D37" t="str">
        <f>IF(C37="","",(_xlfn.XLOOKUP(C37,'Loan Out'!A:A,'Loan Out'!J:J)))</f>
        <v/>
      </c>
      <c r="E37" t="str">
        <f>IF(C37="","",(_xlfn.XLOOKUP(C37,'Loan Out'!A:A,'Loan Out'!D:D)))</f>
        <v/>
      </c>
      <c r="F37" t="str">
        <f>IF(C37="","",(_xlfn.XLOOKUP(C37,'Loan Out'!A:A,'Loan Out'!E:E)))</f>
        <v/>
      </c>
      <c r="G37" t="str">
        <f>IF(C37="","",(_xlfn.XLOOKUP(C37,'Loan Out'!A:A,'Loan Out'!F:F)))</f>
        <v/>
      </c>
      <c r="H37" t="str">
        <f>IF(C37="","",(_xlfn.XLOOKUP(C37,'Loan Out'!A:A,'Loan Out'!G:G)))</f>
        <v/>
      </c>
      <c r="I37" t="str">
        <f>IF(C37="","",(_xlfn.XLOOKUP(C37,'Loan Out'!A:A,'Loan Out'!H:H)))</f>
        <v/>
      </c>
      <c r="J37" t="str">
        <f>IF(C37="","",(_xlfn.XLOOKUP(C37,'Loan Out'!A:A,'Loan Out'!I:I)))</f>
        <v/>
      </c>
      <c r="K37" t="str">
        <f>IF(C37="","",(_xlfn.XLOOKUP(C37,'Loan Out'!A:A,'Loan Out'!J:J)))</f>
        <v/>
      </c>
      <c r="L37" t="str">
        <f>IF(C37&lt;&gt;"",(SUMIF(Payments!C:C,C37,Payments!G:G)),"")</f>
        <v/>
      </c>
      <c r="M37" t="str">
        <f t="shared" si="2"/>
        <v/>
      </c>
      <c r="N37" t="str">
        <f t="shared" si="3"/>
        <v/>
      </c>
      <c r="O37" t="str">
        <f t="shared" si="4"/>
        <v/>
      </c>
      <c r="P37" s="1" t="str">
        <f>IF(B37&lt;&gt;"",(IF((_xlfn.XLOOKUP(C37,'Loan Out'!A:A,'Loan Out'!L:L))="Bad debt","Bad debt",IF(M37&gt;0,"Pending","Settled"))),"")</f>
        <v/>
      </c>
    </row>
    <row r="38" spans="1:16">
      <c r="A38" t="str">
        <f t="shared" si="0"/>
        <v/>
      </c>
      <c r="C38" t="str">
        <f t="shared" si="1"/>
        <v/>
      </c>
      <c r="D38" t="str">
        <f>IF(C38="","",(_xlfn.XLOOKUP(C38,'Loan Out'!A:A,'Loan Out'!J:J)))</f>
        <v/>
      </c>
      <c r="E38" t="str">
        <f>IF(C38="","",(_xlfn.XLOOKUP(C38,'Loan Out'!A:A,'Loan Out'!D:D)))</f>
        <v/>
      </c>
      <c r="F38" t="str">
        <f>IF(C38="","",(_xlfn.XLOOKUP(C38,'Loan Out'!A:A,'Loan Out'!E:E)))</f>
        <v/>
      </c>
      <c r="G38" t="str">
        <f>IF(C38="","",(_xlfn.XLOOKUP(C38,'Loan Out'!A:A,'Loan Out'!F:F)))</f>
        <v/>
      </c>
      <c r="H38" t="str">
        <f>IF(C38="","",(_xlfn.XLOOKUP(C38,'Loan Out'!A:A,'Loan Out'!G:G)))</f>
        <v/>
      </c>
      <c r="I38" t="str">
        <f>IF(C38="","",(_xlfn.XLOOKUP(C38,'Loan Out'!A:A,'Loan Out'!H:H)))</f>
        <v/>
      </c>
      <c r="J38" t="str">
        <f>IF(C38="","",(_xlfn.XLOOKUP(C38,'Loan Out'!A:A,'Loan Out'!I:I)))</f>
        <v/>
      </c>
      <c r="K38" t="str">
        <f>IF(C38="","",(_xlfn.XLOOKUP(C38,'Loan Out'!A:A,'Loan Out'!J:J)))</f>
        <v/>
      </c>
      <c r="L38" t="str">
        <f>IF(C38&lt;&gt;"",(SUMIF(Payments!C:C,C38,Payments!G:G)),"")</f>
        <v/>
      </c>
      <c r="M38" t="str">
        <f t="shared" si="2"/>
        <v/>
      </c>
      <c r="N38" t="str">
        <f t="shared" si="3"/>
        <v/>
      </c>
      <c r="O38" t="str">
        <f t="shared" si="4"/>
        <v/>
      </c>
      <c r="P38" s="1" t="str">
        <f>IF(B38&lt;&gt;"",(IF((_xlfn.XLOOKUP(C38,'Loan Out'!A:A,'Loan Out'!L:L))="Bad debt","Bad debt",IF(M38&gt;0,"Pending","Settled"))),"")</f>
        <v/>
      </c>
    </row>
    <row r="39" spans="1:16">
      <c r="A39" t="str">
        <f t="shared" si="0"/>
        <v/>
      </c>
      <c r="C39" t="str">
        <f t="shared" si="1"/>
        <v/>
      </c>
      <c r="D39" t="str">
        <f>IF(C39="","",(_xlfn.XLOOKUP(C39,'Loan Out'!A:A,'Loan Out'!J:J)))</f>
        <v/>
      </c>
      <c r="E39" t="str">
        <f>IF(C39="","",(_xlfn.XLOOKUP(C39,'Loan Out'!A:A,'Loan Out'!D:D)))</f>
        <v/>
      </c>
      <c r="F39" t="str">
        <f>IF(C39="","",(_xlfn.XLOOKUP(C39,'Loan Out'!A:A,'Loan Out'!E:E)))</f>
        <v/>
      </c>
      <c r="G39" t="str">
        <f>IF(C39="","",(_xlfn.XLOOKUP(C39,'Loan Out'!A:A,'Loan Out'!F:F)))</f>
        <v/>
      </c>
      <c r="H39" t="str">
        <f>IF(C39="","",(_xlfn.XLOOKUP(C39,'Loan Out'!A:A,'Loan Out'!G:G)))</f>
        <v/>
      </c>
      <c r="I39" t="str">
        <f>IF(C39="","",(_xlfn.XLOOKUP(C39,'Loan Out'!A:A,'Loan Out'!H:H)))</f>
        <v/>
      </c>
      <c r="J39" t="str">
        <f>IF(C39="","",(_xlfn.XLOOKUP(C39,'Loan Out'!A:A,'Loan Out'!I:I)))</f>
        <v/>
      </c>
      <c r="K39" t="str">
        <f>IF(C39="","",(_xlfn.XLOOKUP(C39,'Loan Out'!A:A,'Loan Out'!J:J)))</f>
        <v/>
      </c>
      <c r="L39" t="str">
        <f>IF(C39&lt;&gt;"",(SUMIF(Payments!C:C,C39,Payments!G:G)),"")</f>
        <v/>
      </c>
      <c r="M39" t="str">
        <f t="shared" si="2"/>
        <v/>
      </c>
      <c r="N39" t="str">
        <f t="shared" si="3"/>
        <v/>
      </c>
      <c r="O39" t="str">
        <f t="shared" si="4"/>
        <v/>
      </c>
      <c r="P39" s="1" t="str">
        <f>IF(B39&lt;&gt;"",(IF((_xlfn.XLOOKUP(C39,'Loan Out'!A:A,'Loan Out'!L:L))="Bad debt","Bad debt",IF(M39&gt;0,"Pending","Settled"))),"")</f>
        <v/>
      </c>
    </row>
    <row r="40" spans="1:16">
      <c r="A40" t="str">
        <f t="shared" si="0"/>
        <v/>
      </c>
      <c r="C40" t="str">
        <f t="shared" si="1"/>
        <v/>
      </c>
      <c r="D40" t="str">
        <f>IF(C40="","",(_xlfn.XLOOKUP(C40,'Loan Out'!A:A,'Loan Out'!J:J)))</f>
        <v/>
      </c>
      <c r="E40" t="str">
        <f>IF(C40="","",(_xlfn.XLOOKUP(C40,'Loan Out'!A:A,'Loan Out'!D:D)))</f>
        <v/>
      </c>
      <c r="F40" t="str">
        <f>IF(C40="","",(_xlfn.XLOOKUP(C40,'Loan Out'!A:A,'Loan Out'!E:E)))</f>
        <v/>
      </c>
      <c r="G40" t="str">
        <f>IF(C40="","",(_xlfn.XLOOKUP(C40,'Loan Out'!A:A,'Loan Out'!F:F)))</f>
        <v/>
      </c>
      <c r="H40" t="str">
        <f>IF(C40="","",(_xlfn.XLOOKUP(C40,'Loan Out'!A:A,'Loan Out'!G:G)))</f>
        <v/>
      </c>
      <c r="I40" t="str">
        <f>IF(C40="","",(_xlfn.XLOOKUP(C40,'Loan Out'!A:A,'Loan Out'!H:H)))</f>
        <v/>
      </c>
      <c r="J40" t="str">
        <f>IF(C40="","",(_xlfn.XLOOKUP(C40,'Loan Out'!A:A,'Loan Out'!I:I)))</f>
        <v/>
      </c>
      <c r="K40" t="str">
        <f>IF(C40="","",(_xlfn.XLOOKUP(C40,'Loan Out'!A:A,'Loan Out'!J:J)))</f>
        <v/>
      </c>
      <c r="L40" t="str">
        <f>IF(C40&lt;&gt;"",(SUMIF(Payments!C:C,C40,Payments!G:G)),"")</f>
        <v/>
      </c>
      <c r="M40" t="str">
        <f t="shared" si="2"/>
        <v/>
      </c>
      <c r="N40" t="str">
        <f t="shared" si="3"/>
        <v/>
      </c>
      <c r="O40" t="str">
        <f t="shared" si="4"/>
        <v/>
      </c>
      <c r="P40" s="1" t="str">
        <f>IF(B40&lt;&gt;"",(IF((_xlfn.XLOOKUP(C40,'Loan Out'!A:A,'Loan Out'!L:L))="Bad debt","Bad debt",IF(M40&gt;0,"Pending","Settled"))),"")</f>
        <v/>
      </c>
    </row>
    <row r="41" spans="1:16">
      <c r="A41" t="str">
        <f t="shared" si="0"/>
        <v/>
      </c>
      <c r="C41" t="str">
        <f t="shared" si="1"/>
        <v/>
      </c>
      <c r="D41" t="str">
        <f>IF(C41="","",(_xlfn.XLOOKUP(C41,'Loan Out'!A:A,'Loan Out'!J:J)))</f>
        <v/>
      </c>
      <c r="E41" t="str">
        <f>IF(C41="","",(_xlfn.XLOOKUP(C41,'Loan Out'!A:A,'Loan Out'!D:D)))</f>
        <v/>
      </c>
      <c r="F41" t="str">
        <f>IF(C41="","",(_xlfn.XLOOKUP(C41,'Loan Out'!A:A,'Loan Out'!E:E)))</f>
        <v/>
      </c>
      <c r="G41" t="str">
        <f>IF(C41="","",(_xlfn.XLOOKUP(C41,'Loan Out'!A:A,'Loan Out'!F:F)))</f>
        <v/>
      </c>
      <c r="H41" t="str">
        <f>IF(C41="","",(_xlfn.XLOOKUP(C41,'Loan Out'!A:A,'Loan Out'!G:G)))</f>
        <v/>
      </c>
      <c r="I41" t="str">
        <f>IF(C41="","",(_xlfn.XLOOKUP(C41,'Loan Out'!A:A,'Loan Out'!H:H)))</f>
        <v/>
      </c>
      <c r="J41" t="str">
        <f>IF(C41="","",(_xlfn.XLOOKUP(C41,'Loan Out'!A:A,'Loan Out'!I:I)))</f>
        <v/>
      </c>
      <c r="K41" t="str">
        <f>IF(C41="","",(_xlfn.XLOOKUP(C41,'Loan Out'!A:A,'Loan Out'!J:J)))</f>
        <v/>
      </c>
      <c r="L41" t="str">
        <f>IF(C41&lt;&gt;"",(SUMIF(Payments!C:C,C41,Payments!G:G)),"")</f>
        <v/>
      </c>
      <c r="M41" t="str">
        <f t="shared" si="2"/>
        <v/>
      </c>
      <c r="N41" t="str">
        <f t="shared" si="3"/>
        <v/>
      </c>
      <c r="O41" t="str">
        <f t="shared" si="4"/>
        <v/>
      </c>
      <c r="P41" s="1" t="str">
        <f>IF(B41&lt;&gt;"",(IF((_xlfn.XLOOKUP(C41,'Loan Out'!A:A,'Loan Out'!L:L))="Bad debt","Bad debt",IF(M41&gt;0,"Pending","Settled"))),"")</f>
        <v/>
      </c>
    </row>
    <row r="42" spans="1:16">
      <c r="A42" t="str">
        <f t="shared" si="0"/>
        <v/>
      </c>
      <c r="C42" t="str">
        <f t="shared" si="1"/>
        <v/>
      </c>
      <c r="D42" t="str">
        <f>IF(C42="","",(_xlfn.XLOOKUP(C42,'Loan Out'!A:A,'Loan Out'!J:J)))</f>
        <v/>
      </c>
      <c r="E42" t="str">
        <f>IF(C42="","",(_xlfn.XLOOKUP(C42,'Loan Out'!A:A,'Loan Out'!D:D)))</f>
        <v/>
      </c>
      <c r="F42" t="str">
        <f>IF(C42="","",(_xlfn.XLOOKUP(C42,'Loan Out'!A:A,'Loan Out'!E:E)))</f>
        <v/>
      </c>
      <c r="G42" t="str">
        <f>IF(C42="","",(_xlfn.XLOOKUP(C42,'Loan Out'!A:A,'Loan Out'!F:F)))</f>
        <v/>
      </c>
      <c r="H42" t="str">
        <f>IF(C42="","",(_xlfn.XLOOKUP(C42,'Loan Out'!A:A,'Loan Out'!G:G)))</f>
        <v/>
      </c>
      <c r="I42" t="str">
        <f>IF(C42="","",(_xlfn.XLOOKUP(C42,'Loan Out'!A:A,'Loan Out'!H:H)))</f>
        <v/>
      </c>
      <c r="J42" t="str">
        <f>IF(C42="","",(_xlfn.XLOOKUP(C42,'Loan Out'!A:A,'Loan Out'!I:I)))</f>
        <v/>
      </c>
      <c r="K42" t="str">
        <f>IF(C42="","",(_xlfn.XLOOKUP(C42,'Loan Out'!A:A,'Loan Out'!J:J)))</f>
        <v/>
      </c>
      <c r="L42" t="str">
        <f>IF(C42&lt;&gt;"",(SUMIF(Payments!C:C,C42,Payments!G:G)),"")</f>
        <v/>
      </c>
      <c r="M42" t="str">
        <f t="shared" si="2"/>
        <v/>
      </c>
      <c r="N42" t="str">
        <f t="shared" si="3"/>
        <v/>
      </c>
      <c r="O42" t="str">
        <f t="shared" si="4"/>
        <v/>
      </c>
      <c r="P42" s="1" t="str">
        <f>IF(B42&lt;&gt;"",(IF((_xlfn.XLOOKUP(C42,'Loan Out'!A:A,'Loan Out'!L:L))="Bad debt","Bad debt",IF(M42&gt;0,"Pending","Settled"))),"")</f>
        <v/>
      </c>
    </row>
    <row r="43" spans="1:16">
      <c r="A43" t="str">
        <f t="shared" si="0"/>
        <v/>
      </c>
      <c r="C43" t="str">
        <f t="shared" si="1"/>
        <v/>
      </c>
      <c r="D43" t="str">
        <f>IF(C43="","",(_xlfn.XLOOKUP(C43,'Loan Out'!A:A,'Loan Out'!J:J)))</f>
        <v/>
      </c>
      <c r="E43" t="str">
        <f>IF(C43="","",(_xlfn.XLOOKUP(C43,'Loan Out'!A:A,'Loan Out'!D:D)))</f>
        <v/>
      </c>
      <c r="F43" t="str">
        <f>IF(C43="","",(_xlfn.XLOOKUP(C43,'Loan Out'!A:A,'Loan Out'!E:E)))</f>
        <v/>
      </c>
      <c r="G43" t="str">
        <f>IF(C43="","",(_xlfn.XLOOKUP(C43,'Loan Out'!A:A,'Loan Out'!F:F)))</f>
        <v/>
      </c>
      <c r="H43" t="str">
        <f>IF(C43="","",(_xlfn.XLOOKUP(C43,'Loan Out'!A:A,'Loan Out'!G:G)))</f>
        <v/>
      </c>
      <c r="I43" t="str">
        <f>IF(C43="","",(_xlfn.XLOOKUP(C43,'Loan Out'!A:A,'Loan Out'!H:H)))</f>
        <v/>
      </c>
      <c r="J43" t="str">
        <f>IF(C43="","",(_xlfn.XLOOKUP(C43,'Loan Out'!A:A,'Loan Out'!I:I)))</f>
        <v/>
      </c>
      <c r="K43" t="str">
        <f>IF(C43="","",(_xlfn.XLOOKUP(C43,'Loan Out'!A:A,'Loan Out'!J:J)))</f>
        <v/>
      </c>
      <c r="L43" t="str">
        <f>IF(C43&lt;&gt;"",(SUMIF(Payments!C:C,C43,Payments!G:G)),"")</f>
        <v/>
      </c>
      <c r="M43" t="str">
        <f t="shared" si="2"/>
        <v/>
      </c>
      <c r="N43" t="str">
        <f t="shared" si="3"/>
        <v/>
      </c>
      <c r="O43" t="str">
        <f t="shared" si="4"/>
        <v/>
      </c>
      <c r="P43" s="1" t="str">
        <f>IF(B43&lt;&gt;"",(IF((_xlfn.XLOOKUP(C43,'Loan Out'!A:A,'Loan Out'!L:L))="Bad debt","Bad debt",IF(M43&gt;0,"Pending","Settled"))),"")</f>
        <v/>
      </c>
    </row>
    <row r="44" spans="1:16">
      <c r="A44" t="str">
        <f t="shared" si="0"/>
        <v/>
      </c>
      <c r="C44" t="str">
        <f t="shared" si="1"/>
        <v/>
      </c>
      <c r="D44" t="str">
        <f>IF(C44="","",(_xlfn.XLOOKUP(C44,'Loan Out'!A:A,'Loan Out'!J:J)))</f>
        <v/>
      </c>
      <c r="E44" t="str">
        <f>IF(C44="","",(_xlfn.XLOOKUP(C44,'Loan Out'!A:A,'Loan Out'!D:D)))</f>
        <v/>
      </c>
      <c r="F44" t="str">
        <f>IF(C44="","",(_xlfn.XLOOKUP(C44,'Loan Out'!A:A,'Loan Out'!E:E)))</f>
        <v/>
      </c>
      <c r="G44" t="str">
        <f>IF(C44="","",(_xlfn.XLOOKUP(C44,'Loan Out'!A:A,'Loan Out'!F:F)))</f>
        <v/>
      </c>
      <c r="H44" t="str">
        <f>IF(C44="","",(_xlfn.XLOOKUP(C44,'Loan Out'!A:A,'Loan Out'!G:G)))</f>
        <v/>
      </c>
      <c r="I44" t="str">
        <f>IF(C44="","",(_xlfn.XLOOKUP(C44,'Loan Out'!A:A,'Loan Out'!H:H)))</f>
        <v/>
      </c>
      <c r="J44" t="str">
        <f>IF(C44="","",(_xlfn.XLOOKUP(C44,'Loan Out'!A:A,'Loan Out'!I:I)))</f>
        <v/>
      </c>
      <c r="K44" t="str">
        <f>IF(C44="","",(_xlfn.XLOOKUP(C44,'Loan Out'!A:A,'Loan Out'!J:J)))</f>
        <v/>
      </c>
      <c r="L44" t="str">
        <f>IF(C44&lt;&gt;"",(SUMIF(Payments!C:C,C44,Payments!G:G)),"")</f>
        <v/>
      </c>
      <c r="M44" t="str">
        <f t="shared" si="2"/>
        <v/>
      </c>
      <c r="N44" t="str">
        <f t="shared" si="3"/>
        <v/>
      </c>
      <c r="O44" t="str">
        <f t="shared" si="4"/>
        <v/>
      </c>
      <c r="P44" s="1" t="str">
        <f>IF(B44&lt;&gt;"",(IF((_xlfn.XLOOKUP(C44,'Loan Out'!A:A,'Loan Out'!L:L))="Bad debt","Bad debt",IF(M44&gt;0,"Pending","Settled"))),"")</f>
        <v/>
      </c>
    </row>
    <row r="45" spans="1:16">
      <c r="A45" t="str">
        <f t="shared" si="0"/>
        <v/>
      </c>
      <c r="C45" t="str">
        <f t="shared" si="1"/>
        <v/>
      </c>
      <c r="D45" t="str">
        <f>IF(C45="","",(_xlfn.XLOOKUP(C45,'Loan Out'!A:A,'Loan Out'!J:J)))</f>
        <v/>
      </c>
      <c r="E45" t="str">
        <f>IF(C45="","",(_xlfn.XLOOKUP(C45,'Loan Out'!A:A,'Loan Out'!D:D)))</f>
        <v/>
      </c>
      <c r="F45" t="str">
        <f>IF(C45="","",(_xlfn.XLOOKUP(C45,'Loan Out'!A:A,'Loan Out'!E:E)))</f>
        <v/>
      </c>
      <c r="G45" t="str">
        <f>IF(C45="","",(_xlfn.XLOOKUP(C45,'Loan Out'!A:A,'Loan Out'!F:F)))</f>
        <v/>
      </c>
      <c r="H45" t="str">
        <f>IF(C45="","",(_xlfn.XLOOKUP(C45,'Loan Out'!A:A,'Loan Out'!G:G)))</f>
        <v/>
      </c>
      <c r="I45" t="str">
        <f>IF(C45="","",(_xlfn.XLOOKUP(C45,'Loan Out'!A:A,'Loan Out'!H:H)))</f>
        <v/>
      </c>
      <c r="J45" t="str">
        <f>IF(C45="","",(_xlfn.XLOOKUP(C45,'Loan Out'!A:A,'Loan Out'!I:I)))</f>
        <v/>
      </c>
      <c r="K45" t="str">
        <f>IF(C45="","",(_xlfn.XLOOKUP(C45,'Loan Out'!A:A,'Loan Out'!J:J)))</f>
        <v/>
      </c>
      <c r="L45" t="str">
        <f>IF(C45&lt;&gt;"",(SUMIF(Payments!C:C,C45,Payments!G:G)),"")</f>
        <v/>
      </c>
      <c r="M45" t="str">
        <f t="shared" si="2"/>
        <v/>
      </c>
      <c r="N45" t="str">
        <f t="shared" si="3"/>
        <v/>
      </c>
      <c r="O45" t="str">
        <f t="shared" si="4"/>
        <v/>
      </c>
      <c r="P45" s="1" t="str">
        <f>IF(B45&lt;&gt;"",(IF((_xlfn.XLOOKUP(C45,'Loan Out'!A:A,'Loan Out'!L:L))="Bad debt","Bad debt",IF(M45&gt;0,"Pending","Settled"))),"")</f>
        <v/>
      </c>
    </row>
    <row r="46" spans="1:16">
      <c r="A46" t="str">
        <f t="shared" si="0"/>
        <v/>
      </c>
      <c r="C46" t="str">
        <f t="shared" si="1"/>
        <v/>
      </c>
      <c r="D46" t="str">
        <f>IF(C46="","",(_xlfn.XLOOKUP(C46,'Loan Out'!A:A,'Loan Out'!J:J)))</f>
        <v/>
      </c>
      <c r="E46" t="str">
        <f>IF(C46="","",(_xlfn.XLOOKUP(C46,'Loan Out'!A:A,'Loan Out'!D:D)))</f>
        <v/>
      </c>
      <c r="F46" t="str">
        <f>IF(C46="","",(_xlfn.XLOOKUP(C46,'Loan Out'!A:A,'Loan Out'!E:E)))</f>
        <v/>
      </c>
      <c r="G46" t="str">
        <f>IF(C46="","",(_xlfn.XLOOKUP(C46,'Loan Out'!A:A,'Loan Out'!F:F)))</f>
        <v/>
      </c>
      <c r="H46" t="str">
        <f>IF(C46="","",(_xlfn.XLOOKUP(C46,'Loan Out'!A:A,'Loan Out'!G:G)))</f>
        <v/>
      </c>
      <c r="I46" t="str">
        <f>IF(C46="","",(_xlfn.XLOOKUP(C46,'Loan Out'!A:A,'Loan Out'!H:H)))</f>
        <v/>
      </c>
      <c r="J46" t="str">
        <f>IF(C46="","",(_xlfn.XLOOKUP(C46,'Loan Out'!A:A,'Loan Out'!I:I)))</f>
        <v/>
      </c>
      <c r="K46" t="str">
        <f>IF(C46="","",(_xlfn.XLOOKUP(C46,'Loan Out'!A:A,'Loan Out'!J:J)))</f>
        <v/>
      </c>
      <c r="L46" t="str">
        <f>IF(C46&lt;&gt;"",(SUMIF(Payments!C:C,C46,Payments!G:G)),"")</f>
        <v/>
      </c>
      <c r="M46" t="str">
        <f t="shared" si="2"/>
        <v/>
      </c>
      <c r="N46" t="str">
        <f t="shared" si="3"/>
        <v/>
      </c>
      <c r="O46" t="str">
        <f t="shared" si="4"/>
        <v/>
      </c>
      <c r="P46" s="1" t="str">
        <f>IF(B46&lt;&gt;"",(IF((_xlfn.XLOOKUP(C46,'Loan Out'!A:A,'Loan Out'!L:L))="Bad debt","Bad debt",IF(M46&gt;0,"Pending","Settled"))),"")</f>
        <v/>
      </c>
    </row>
    <row r="47" spans="1:16">
      <c r="A47" t="str">
        <f t="shared" si="0"/>
        <v/>
      </c>
      <c r="C47" t="str">
        <f t="shared" si="1"/>
        <v/>
      </c>
      <c r="D47" t="str">
        <f>IF(C47="","",(_xlfn.XLOOKUP(C47,'Loan Out'!A:A,'Loan Out'!J:J)))</f>
        <v/>
      </c>
      <c r="E47" t="str">
        <f>IF(C47="","",(_xlfn.XLOOKUP(C47,'Loan Out'!A:A,'Loan Out'!D:D)))</f>
        <v/>
      </c>
      <c r="F47" t="str">
        <f>IF(C47="","",(_xlfn.XLOOKUP(C47,'Loan Out'!A:A,'Loan Out'!E:E)))</f>
        <v/>
      </c>
      <c r="G47" t="str">
        <f>IF(C47="","",(_xlfn.XLOOKUP(C47,'Loan Out'!A:A,'Loan Out'!F:F)))</f>
        <v/>
      </c>
      <c r="H47" t="str">
        <f>IF(C47="","",(_xlfn.XLOOKUP(C47,'Loan Out'!A:A,'Loan Out'!G:G)))</f>
        <v/>
      </c>
      <c r="I47" t="str">
        <f>IF(C47="","",(_xlfn.XLOOKUP(C47,'Loan Out'!A:A,'Loan Out'!H:H)))</f>
        <v/>
      </c>
      <c r="J47" t="str">
        <f>IF(C47="","",(_xlfn.XLOOKUP(C47,'Loan Out'!A:A,'Loan Out'!I:I)))</f>
        <v/>
      </c>
      <c r="K47" t="str">
        <f>IF(C47="","",(_xlfn.XLOOKUP(C47,'Loan Out'!A:A,'Loan Out'!J:J)))</f>
        <v/>
      </c>
      <c r="L47" t="str">
        <f>IF(C47&lt;&gt;"",(SUMIF(Payments!C:C,C47,Payments!G:G)),"")</f>
        <v/>
      </c>
      <c r="M47" t="str">
        <f t="shared" si="2"/>
        <v/>
      </c>
      <c r="N47" t="str">
        <f t="shared" si="3"/>
        <v/>
      </c>
      <c r="O47" t="str">
        <f t="shared" si="4"/>
        <v/>
      </c>
      <c r="P47" s="1" t="str">
        <f>IF(B47&lt;&gt;"",(IF((_xlfn.XLOOKUP(C47,'Loan Out'!A:A,'Loan Out'!L:L))="Bad debt","Bad debt",IF(M47&gt;0,"Pending","Settled"))),"")</f>
        <v/>
      </c>
    </row>
    <row r="48" spans="1:16">
      <c r="A48" t="str">
        <f t="shared" si="0"/>
        <v/>
      </c>
      <c r="C48" t="str">
        <f t="shared" si="1"/>
        <v/>
      </c>
      <c r="D48" t="str">
        <f>IF(C48="","",(_xlfn.XLOOKUP(C48,'Loan Out'!A:A,'Loan Out'!J:J)))</f>
        <v/>
      </c>
      <c r="E48" t="str">
        <f>IF(C48="","",(_xlfn.XLOOKUP(C48,'Loan Out'!A:A,'Loan Out'!D:D)))</f>
        <v/>
      </c>
      <c r="F48" t="str">
        <f>IF(C48="","",(_xlfn.XLOOKUP(C48,'Loan Out'!A:A,'Loan Out'!E:E)))</f>
        <v/>
      </c>
      <c r="G48" t="str">
        <f>IF(C48="","",(_xlfn.XLOOKUP(C48,'Loan Out'!A:A,'Loan Out'!F:F)))</f>
        <v/>
      </c>
      <c r="H48" t="str">
        <f>IF(C48="","",(_xlfn.XLOOKUP(C48,'Loan Out'!A:A,'Loan Out'!G:G)))</f>
        <v/>
      </c>
      <c r="I48" t="str">
        <f>IF(C48="","",(_xlfn.XLOOKUP(C48,'Loan Out'!A:A,'Loan Out'!H:H)))</f>
        <v/>
      </c>
      <c r="J48" t="str">
        <f>IF(C48="","",(_xlfn.XLOOKUP(C48,'Loan Out'!A:A,'Loan Out'!I:I)))</f>
        <v/>
      </c>
      <c r="K48" t="str">
        <f>IF(C48="","",(_xlfn.XLOOKUP(C48,'Loan Out'!A:A,'Loan Out'!J:J)))</f>
        <v/>
      </c>
      <c r="L48" t="str">
        <f>IF(C48&lt;&gt;"",(SUMIF(Payments!C:C,C48,Payments!G:G)),"")</f>
        <v/>
      </c>
      <c r="M48" t="str">
        <f t="shared" si="2"/>
        <v/>
      </c>
      <c r="N48" t="str">
        <f t="shared" si="3"/>
        <v/>
      </c>
      <c r="O48" t="str">
        <f t="shared" si="4"/>
        <v/>
      </c>
      <c r="P48" s="1" t="str">
        <f>IF(B48&lt;&gt;"",(IF((_xlfn.XLOOKUP(C48,'Loan Out'!A:A,'Loan Out'!L:L))="Bad debt","Bad debt",IF(M48&gt;0,"Pending","Settled"))),"")</f>
        <v/>
      </c>
    </row>
    <row r="49" spans="1:16">
      <c r="A49" t="str">
        <f t="shared" si="0"/>
        <v/>
      </c>
      <c r="C49" t="str">
        <f t="shared" si="1"/>
        <v/>
      </c>
      <c r="D49" t="str">
        <f>IF(C49="","",(_xlfn.XLOOKUP(C49,'Loan Out'!A:A,'Loan Out'!J:J)))</f>
        <v/>
      </c>
      <c r="E49" t="str">
        <f>IF(C49="","",(_xlfn.XLOOKUP(C49,'Loan Out'!A:A,'Loan Out'!D:D)))</f>
        <v/>
      </c>
      <c r="F49" t="str">
        <f>IF(C49="","",(_xlfn.XLOOKUP(C49,'Loan Out'!A:A,'Loan Out'!E:E)))</f>
        <v/>
      </c>
      <c r="G49" t="str">
        <f>IF(C49="","",(_xlfn.XLOOKUP(C49,'Loan Out'!A:A,'Loan Out'!F:F)))</f>
        <v/>
      </c>
      <c r="H49" t="str">
        <f>IF(C49="","",(_xlfn.XLOOKUP(C49,'Loan Out'!A:A,'Loan Out'!G:G)))</f>
        <v/>
      </c>
      <c r="I49" t="str">
        <f>IF(C49="","",(_xlfn.XLOOKUP(C49,'Loan Out'!A:A,'Loan Out'!H:H)))</f>
        <v/>
      </c>
      <c r="J49" t="str">
        <f>IF(C49="","",(_xlfn.XLOOKUP(C49,'Loan Out'!A:A,'Loan Out'!I:I)))</f>
        <v/>
      </c>
      <c r="K49" t="str">
        <f>IF(C49="","",(_xlfn.XLOOKUP(C49,'Loan Out'!A:A,'Loan Out'!J:J)))</f>
        <v/>
      </c>
      <c r="L49" t="str">
        <f>IF(C49&lt;&gt;"",(SUMIF(Payments!C:C,C49,Payments!G:G)),"")</f>
        <v/>
      </c>
      <c r="M49" t="str">
        <f t="shared" si="2"/>
        <v/>
      </c>
      <c r="N49" t="str">
        <f t="shared" si="3"/>
        <v/>
      </c>
      <c r="O49" t="str">
        <f t="shared" si="4"/>
        <v/>
      </c>
      <c r="P49" s="1" t="str">
        <f>IF(B49&lt;&gt;"",(IF((_xlfn.XLOOKUP(C49,'Loan Out'!A:A,'Loan Out'!L:L))="Bad debt","Bad debt",IF(M49&gt;0,"Pending","Settled"))),"")</f>
        <v/>
      </c>
    </row>
    <row r="50" spans="1:16">
      <c r="A50" t="str">
        <f t="shared" si="0"/>
        <v/>
      </c>
      <c r="C50" t="str">
        <f t="shared" si="1"/>
        <v/>
      </c>
      <c r="D50" t="str">
        <f>IF(C50="","",(_xlfn.XLOOKUP(C50,'Loan Out'!A:A,'Loan Out'!J:J)))</f>
        <v/>
      </c>
      <c r="E50" t="str">
        <f>IF(C50="","",(_xlfn.XLOOKUP(C50,'Loan Out'!A:A,'Loan Out'!D:D)))</f>
        <v/>
      </c>
      <c r="F50" t="str">
        <f>IF(C50="","",(_xlfn.XLOOKUP(C50,'Loan Out'!A:A,'Loan Out'!E:E)))</f>
        <v/>
      </c>
      <c r="G50" t="str">
        <f>IF(C50="","",(_xlfn.XLOOKUP(C50,'Loan Out'!A:A,'Loan Out'!F:F)))</f>
        <v/>
      </c>
      <c r="H50" t="str">
        <f>IF(C50="","",(_xlfn.XLOOKUP(C50,'Loan Out'!A:A,'Loan Out'!G:G)))</f>
        <v/>
      </c>
      <c r="I50" t="str">
        <f>IF(C50="","",(_xlfn.XLOOKUP(C50,'Loan Out'!A:A,'Loan Out'!H:H)))</f>
        <v/>
      </c>
      <c r="J50" t="str">
        <f>IF(C50="","",(_xlfn.XLOOKUP(C50,'Loan Out'!A:A,'Loan Out'!I:I)))</f>
        <v/>
      </c>
      <c r="K50" t="str">
        <f>IF(C50="","",(_xlfn.XLOOKUP(C50,'Loan Out'!A:A,'Loan Out'!J:J)))</f>
        <v/>
      </c>
      <c r="L50" t="str">
        <f>IF(C50&lt;&gt;"",(SUMIF(Payments!C:C,C50,Payments!G:G)),"")</f>
        <v/>
      </c>
      <c r="M50" t="str">
        <f t="shared" si="2"/>
        <v/>
      </c>
      <c r="N50" t="str">
        <f t="shared" si="3"/>
        <v/>
      </c>
      <c r="O50" t="str">
        <f t="shared" si="4"/>
        <v/>
      </c>
      <c r="P50" s="1" t="str">
        <f>IF(B50&lt;&gt;"",(IF((_xlfn.XLOOKUP(C50,'Loan Out'!A:A,'Loan Out'!L:L))="Bad debt","Bad debt",IF(M50&gt;0,"Pending","Settled"))),"")</f>
        <v/>
      </c>
    </row>
    <row r="51" spans="1:16">
      <c r="A51" t="str">
        <f t="shared" si="0"/>
        <v/>
      </c>
      <c r="C51" t="str">
        <f t="shared" si="1"/>
        <v/>
      </c>
      <c r="D51" t="str">
        <f>IF(C51="","",(_xlfn.XLOOKUP(C51,'Loan Out'!A:A,'Loan Out'!J:J)))</f>
        <v/>
      </c>
      <c r="E51" t="str">
        <f>IF(C51="","",(_xlfn.XLOOKUP(C51,'Loan Out'!A:A,'Loan Out'!D:D)))</f>
        <v/>
      </c>
      <c r="F51" t="str">
        <f>IF(C51="","",(_xlfn.XLOOKUP(C51,'Loan Out'!A:A,'Loan Out'!E:E)))</f>
        <v/>
      </c>
      <c r="G51" t="str">
        <f>IF(C51="","",(_xlfn.XLOOKUP(C51,'Loan Out'!A:A,'Loan Out'!F:F)))</f>
        <v/>
      </c>
      <c r="H51" t="str">
        <f>IF(C51="","",(_xlfn.XLOOKUP(C51,'Loan Out'!A:A,'Loan Out'!G:G)))</f>
        <v/>
      </c>
      <c r="I51" t="str">
        <f>IF(C51="","",(_xlfn.XLOOKUP(C51,'Loan Out'!A:A,'Loan Out'!H:H)))</f>
        <v/>
      </c>
      <c r="J51" t="str">
        <f>IF(C51="","",(_xlfn.XLOOKUP(C51,'Loan Out'!A:A,'Loan Out'!I:I)))</f>
        <v/>
      </c>
      <c r="K51" t="str">
        <f>IF(C51="","",(_xlfn.XLOOKUP(C51,'Loan Out'!A:A,'Loan Out'!J:J)))</f>
        <v/>
      </c>
      <c r="L51" t="str">
        <f>IF(C51&lt;&gt;"",(SUMIF(Payments!C:C,C51,Payments!G:G)),"")</f>
        <v/>
      </c>
      <c r="M51" t="str">
        <f t="shared" si="2"/>
        <v/>
      </c>
      <c r="N51" t="str">
        <f t="shared" si="3"/>
        <v/>
      </c>
      <c r="O51" t="str">
        <f t="shared" si="4"/>
        <v/>
      </c>
      <c r="P51" s="1" t="str">
        <f>IF(B51&lt;&gt;"",(IF((_xlfn.XLOOKUP(C51,'Loan Out'!A:A,'Loan Out'!L:L))="Bad debt","Bad debt",IF(M51&gt;0,"Pending","Settled"))),"")</f>
        <v/>
      </c>
    </row>
    <row r="52" spans="1:16">
      <c r="A52" t="str">
        <f t="shared" si="0"/>
        <v/>
      </c>
      <c r="C52" t="str">
        <f t="shared" si="1"/>
        <v/>
      </c>
      <c r="D52" t="str">
        <f>IF(C52="","",(_xlfn.XLOOKUP(C52,'Loan Out'!A:A,'Loan Out'!J:J)))</f>
        <v/>
      </c>
      <c r="E52" t="str">
        <f>IF(C52="","",(_xlfn.XLOOKUP(C52,'Loan Out'!A:A,'Loan Out'!D:D)))</f>
        <v/>
      </c>
      <c r="F52" t="str">
        <f>IF(C52="","",(_xlfn.XLOOKUP(C52,'Loan Out'!A:A,'Loan Out'!E:E)))</f>
        <v/>
      </c>
      <c r="G52" t="str">
        <f>IF(C52="","",(_xlfn.XLOOKUP(C52,'Loan Out'!A:A,'Loan Out'!F:F)))</f>
        <v/>
      </c>
      <c r="H52" t="str">
        <f>IF(C52="","",(_xlfn.XLOOKUP(C52,'Loan Out'!A:A,'Loan Out'!G:G)))</f>
        <v/>
      </c>
      <c r="I52" t="str">
        <f>IF(C52="","",(_xlfn.XLOOKUP(C52,'Loan Out'!A:A,'Loan Out'!H:H)))</f>
        <v/>
      </c>
      <c r="J52" t="str">
        <f>IF(C52="","",(_xlfn.XLOOKUP(C52,'Loan Out'!A:A,'Loan Out'!I:I)))</f>
        <v/>
      </c>
      <c r="K52" t="str">
        <f>IF(C52="","",(_xlfn.XLOOKUP(C52,'Loan Out'!A:A,'Loan Out'!J:J)))</f>
        <v/>
      </c>
      <c r="L52" t="str">
        <f>IF(C52&lt;&gt;"",(SUMIF(Payments!C:C,C52,Payments!G:G)),"")</f>
        <v/>
      </c>
      <c r="M52" t="str">
        <f t="shared" si="2"/>
        <v/>
      </c>
      <c r="N52" t="str">
        <f t="shared" si="3"/>
        <v/>
      </c>
      <c r="O52" t="str">
        <f t="shared" si="4"/>
        <v/>
      </c>
      <c r="P52" s="1" t="str">
        <f>IF(B52&lt;&gt;"",(IF((_xlfn.XLOOKUP(C52,'Loan Out'!A:A,'Loan Out'!L:L))="Bad debt","Bad debt",IF(M52&gt;0,"Pending","Settled"))),"")</f>
        <v/>
      </c>
    </row>
    <row r="53" spans="1:16">
      <c r="A53" t="str">
        <f t="shared" si="0"/>
        <v/>
      </c>
      <c r="C53" t="str">
        <f t="shared" si="1"/>
        <v/>
      </c>
      <c r="D53" t="str">
        <f>IF(C53="","",(_xlfn.XLOOKUP(C53,'Loan Out'!A:A,'Loan Out'!J:J)))</f>
        <v/>
      </c>
      <c r="E53" t="str">
        <f>IF(C53="","",(_xlfn.XLOOKUP(C53,'Loan Out'!A:A,'Loan Out'!D:D)))</f>
        <v/>
      </c>
      <c r="F53" t="str">
        <f>IF(C53="","",(_xlfn.XLOOKUP(C53,'Loan Out'!A:A,'Loan Out'!E:E)))</f>
        <v/>
      </c>
      <c r="G53" t="str">
        <f>IF(C53="","",(_xlfn.XLOOKUP(C53,'Loan Out'!A:A,'Loan Out'!F:F)))</f>
        <v/>
      </c>
      <c r="H53" t="str">
        <f>IF(C53="","",(_xlfn.XLOOKUP(C53,'Loan Out'!A:A,'Loan Out'!G:G)))</f>
        <v/>
      </c>
      <c r="I53" t="str">
        <f>IF(C53="","",(_xlfn.XLOOKUP(C53,'Loan Out'!A:A,'Loan Out'!H:H)))</f>
        <v/>
      </c>
      <c r="J53" t="str">
        <f>IF(C53="","",(_xlfn.XLOOKUP(C53,'Loan Out'!A:A,'Loan Out'!I:I)))</f>
        <v/>
      </c>
      <c r="K53" t="str">
        <f>IF(C53="","",(_xlfn.XLOOKUP(C53,'Loan Out'!A:A,'Loan Out'!J:J)))</f>
        <v/>
      </c>
      <c r="L53" t="str">
        <f>IF(C53&lt;&gt;"",(SUMIF(Payments!C:C,C53,Payments!G:G)),"")</f>
        <v/>
      </c>
      <c r="M53" t="str">
        <f t="shared" si="2"/>
        <v/>
      </c>
      <c r="N53" t="str">
        <f t="shared" si="3"/>
        <v/>
      </c>
      <c r="O53" t="str">
        <f t="shared" si="4"/>
        <v/>
      </c>
      <c r="P53" s="1" t="str">
        <f>IF(B53&lt;&gt;"",(IF((_xlfn.XLOOKUP(C53,'Loan Out'!A:A,'Loan Out'!L:L))="Bad debt","Bad debt",IF(M53&gt;0,"Pending","Settled"))),"")</f>
        <v/>
      </c>
    </row>
    <row r="54" spans="1:16">
      <c r="A54" t="str">
        <f t="shared" si="0"/>
        <v/>
      </c>
      <c r="C54" t="str">
        <f t="shared" si="1"/>
        <v/>
      </c>
      <c r="D54" t="str">
        <f>IF(C54="","",(_xlfn.XLOOKUP(C54,'Loan Out'!A:A,'Loan Out'!J:J)))</f>
        <v/>
      </c>
      <c r="E54" t="str">
        <f>IF(C54="","",(_xlfn.XLOOKUP(C54,'Loan Out'!A:A,'Loan Out'!D:D)))</f>
        <v/>
      </c>
      <c r="F54" t="str">
        <f>IF(C54="","",(_xlfn.XLOOKUP(C54,'Loan Out'!A:A,'Loan Out'!E:E)))</f>
        <v/>
      </c>
      <c r="G54" t="str">
        <f>IF(C54="","",(_xlfn.XLOOKUP(C54,'Loan Out'!A:A,'Loan Out'!F:F)))</f>
        <v/>
      </c>
      <c r="H54" t="str">
        <f>IF(C54="","",(_xlfn.XLOOKUP(C54,'Loan Out'!A:A,'Loan Out'!G:G)))</f>
        <v/>
      </c>
      <c r="I54" t="str">
        <f>IF(C54="","",(_xlfn.XLOOKUP(C54,'Loan Out'!A:A,'Loan Out'!H:H)))</f>
        <v/>
      </c>
      <c r="J54" t="str">
        <f>IF(C54="","",(_xlfn.XLOOKUP(C54,'Loan Out'!A:A,'Loan Out'!I:I)))</f>
        <v/>
      </c>
      <c r="K54" t="str">
        <f>IF(C54="","",(_xlfn.XLOOKUP(C54,'Loan Out'!A:A,'Loan Out'!J:J)))</f>
        <v/>
      </c>
      <c r="L54" t="str">
        <f>IF(C54&lt;&gt;"",(SUMIF(Payments!C:C,C54,Payments!G:G)),"")</f>
        <v/>
      </c>
      <c r="M54" t="str">
        <f t="shared" si="2"/>
        <v/>
      </c>
      <c r="N54" t="str">
        <f t="shared" si="3"/>
        <v/>
      </c>
      <c r="O54" t="str">
        <f t="shared" si="4"/>
        <v/>
      </c>
      <c r="P54" s="1" t="str">
        <f>IF(B54&lt;&gt;"",(IF((_xlfn.XLOOKUP(C54,'Loan Out'!A:A,'Loan Out'!L:L))="Bad debt","Bad debt",IF(M54&gt;0,"Pending","Settled"))),"")</f>
        <v/>
      </c>
    </row>
    <row r="55" spans="1:16">
      <c r="A55" t="str">
        <f t="shared" si="0"/>
        <v/>
      </c>
      <c r="C55" t="str">
        <f t="shared" si="1"/>
        <v/>
      </c>
      <c r="D55" t="str">
        <f>IF(C55="","",(_xlfn.XLOOKUP(C55,'Loan Out'!A:A,'Loan Out'!J:J)))</f>
        <v/>
      </c>
      <c r="E55" t="str">
        <f>IF(C55="","",(_xlfn.XLOOKUP(C55,'Loan Out'!A:A,'Loan Out'!D:D)))</f>
        <v/>
      </c>
      <c r="F55" t="str">
        <f>IF(C55="","",(_xlfn.XLOOKUP(C55,'Loan Out'!A:A,'Loan Out'!E:E)))</f>
        <v/>
      </c>
      <c r="G55" t="str">
        <f>IF(C55="","",(_xlfn.XLOOKUP(C55,'Loan Out'!A:A,'Loan Out'!F:F)))</f>
        <v/>
      </c>
      <c r="H55" t="str">
        <f>IF(C55="","",(_xlfn.XLOOKUP(C55,'Loan Out'!A:A,'Loan Out'!G:G)))</f>
        <v/>
      </c>
      <c r="I55" t="str">
        <f>IF(C55="","",(_xlfn.XLOOKUP(C55,'Loan Out'!A:A,'Loan Out'!H:H)))</f>
        <v/>
      </c>
      <c r="J55" t="str">
        <f>IF(C55="","",(_xlfn.XLOOKUP(C55,'Loan Out'!A:A,'Loan Out'!I:I)))</f>
        <v/>
      </c>
      <c r="K55" t="str">
        <f>IF(C55="","",(_xlfn.XLOOKUP(C55,'Loan Out'!A:A,'Loan Out'!J:J)))</f>
        <v/>
      </c>
      <c r="L55" t="str">
        <f>IF(C55&lt;&gt;"",(SUMIF(Payments!C:C,C55,Payments!G:G)),"")</f>
        <v/>
      </c>
      <c r="M55" t="str">
        <f t="shared" si="2"/>
        <v/>
      </c>
      <c r="N55" t="str">
        <f t="shared" si="3"/>
        <v/>
      </c>
      <c r="O55" t="str">
        <f t="shared" si="4"/>
        <v/>
      </c>
      <c r="P55" s="1" t="str">
        <f>IF(B55&lt;&gt;"",(IF((_xlfn.XLOOKUP(C55,'Loan Out'!A:A,'Loan Out'!L:L))="Bad debt","Bad debt",IF(M55&gt;0,"Pending","Settled"))),"")</f>
        <v/>
      </c>
    </row>
    <row r="56" spans="1:16">
      <c r="A56" t="str">
        <f t="shared" si="0"/>
        <v/>
      </c>
      <c r="C56" t="str">
        <f t="shared" si="1"/>
        <v/>
      </c>
      <c r="D56" t="str">
        <f>IF(C56="","",(_xlfn.XLOOKUP(C56,'Loan Out'!A:A,'Loan Out'!J:J)))</f>
        <v/>
      </c>
      <c r="E56" t="str">
        <f>IF(C56="","",(_xlfn.XLOOKUP(C56,'Loan Out'!A:A,'Loan Out'!D:D)))</f>
        <v/>
      </c>
      <c r="F56" t="str">
        <f>IF(C56="","",(_xlfn.XLOOKUP(C56,'Loan Out'!A:A,'Loan Out'!E:E)))</f>
        <v/>
      </c>
      <c r="G56" t="str">
        <f>IF(C56="","",(_xlfn.XLOOKUP(C56,'Loan Out'!A:A,'Loan Out'!F:F)))</f>
        <v/>
      </c>
      <c r="H56" t="str">
        <f>IF(C56="","",(_xlfn.XLOOKUP(C56,'Loan Out'!A:A,'Loan Out'!G:G)))</f>
        <v/>
      </c>
      <c r="I56" t="str">
        <f>IF(C56="","",(_xlfn.XLOOKUP(C56,'Loan Out'!A:A,'Loan Out'!H:H)))</f>
        <v/>
      </c>
      <c r="J56" t="str">
        <f>IF(C56="","",(_xlfn.XLOOKUP(C56,'Loan Out'!A:A,'Loan Out'!I:I)))</f>
        <v/>
      </c>
      <c r="K56" t="str">
        <f>IF(C56="","",(_xlfn.XLOOKUP(C56,'Loan Out'!A:A,'Loan Out'!J:J)))</f>
        <v/>
      </c>
      <c r="L56" t="str">
        <f>IF(C56&lt;&gt;"",(SUMIF(Payments!C:C,C56,Payments!G:G)),"")</f>
        <v/>
      </c>
      <c r="M56" t="str">
        <f t="shared" si="2"/>
        <v/>
      </c>
      <c r="N56" t="str">
        <f t="shared" si="3"/>
        <v/>
      </c>
      <c r="O56" t="str">
        <f t="shared" si="4"/>
        <v/>
      </c>
      <c r="P56" s="1" t="str">
        <f>IF(B56&lt;&gt;"",(IF((_xlfn.XLOOKUP(C56,'Loan Out'!A:A,'Loan Out'!L:L))="Bad debt","Bad debt",IF(M56&gt;0,"Pending","Settled"))),"")</f>
        <v/>
      </c>
    </row>
    <row r="57" spans="1:16">
      <c r="A57" t="str">
        <f t="shared" si="0"/>
        <v/>
      </c>
      <c r="C57" t="str">
        <f t="shared" si="1"/>
        <v/>
      </c>
      <c r="D57" t="str">
        <f>IF(C57="","",(_xlfn.XLOOKUP(C57,'Loan Out'!A:A,'Loan Out'!J:J)))</f>
        <v/>
      </c>
      <c r="E57" t="str">
        <f>IF(C57="","",(_xlfn.XLOOKUP(C57,'Loan Out'!A:A,'Loan Out'!D:D)))</f>
        <v/>
      </c>
      <c r="F57" t="str">
        <f>IF(C57="","",(_xlfn.XLOOKUP(C57,'Loan Out'!A:A,'Loan Out'!E:E)))</f>
        <v/>
      </c>
      <c r="G57" t="str">
        <f>IF(C57="","",(_xlfn.XLOOKUP(C57,'Loan Out'!A:A,'Loan Out'!F:F)))</f>
        <v/>
      </c>
      <c r="H57" t="str">
        <f>IF(C57="","",(_xlfn.XLOOKUP(C57,'Loan Out'!A:A,'Loan Out'!G:G)))</f>
        <v/>
      </c>
      <c r="I57" t="str">
        <f>IF(C57="","",(_xlfn.XLOOKUP(C57,'Loan Out'!A:A,'Loan Out'!H:H)))</f>
        <v/>
      </c>
      <c r="J57" t="str">
        <f>IF(C57="","",(_xlfn.XLOOKUP(C57,'Loan Out'!A:A,'Loan Out'!I:I)))</f>
        <v/>
      </c>
      <c r="K57" t="str">
        <f>IF(C57="","",(_xlfn.XLOOKUP(C57,'Loan Out'!A:A,'Loan Out'!J:J)))</f>
        <v/>
      </c>
      <c r="L57" t="str">
        <f>IF(C57&lt;&gt;"",(SUMIF(Payments!C:C,C57,Payments!G:G)),"")</f>
        <v/>
      </c>
      <c r="M57" t="str">
        <f t="shared" si="2"/>
        <v/>
      </c>
      <c r="N57" t="str">
        <f t="shared" si="3"/>
        <v/>
      </c>
      <c r="O57" t="str">
        <f t="shared" si="4"/>
        <v/>
      </c>
      <c r="P57" s="1" t="str">
        <f>IF(B57&lt;&gt;"",(IF((_xlfn.XLOOKUP(C57,'Loan Out'!A:A,'Loan Out'!L:L))="Bad debt","Bad debt",IF(M57&gt;0,"Pending","Settled"))),"")</f>
        <v/>
      </c>
    </row>
    <row r="58" spans="1:16">
      <c r="A58" t="str">
        <f t="shared" si="0"/>
        <v/>
      </c>
      <c r="C58" t="str">
        <f t="shared" si="1"/>
        <v/>
      </c>
      <c r="D58" t="str">
        <f>IF(C58="","",(_xlfn.XLOOKUP(C58,'Loan Out'!A:A,'Loan Out'!J:J)))</f>
        <v/>
      </c>
      <c r="E58" t="str">
        <f>IF(C58="","",(_xlfn.XLOOKUP(C58,'Loan Out'!A:A,'Loan Out'!D:D)))</f>
        <v/>
      </c>
      <c r="F58" t="str">
        <f>IF(C58="","",(_xlfn.XLOOKUP(C58,'Loan Out'!A:A,'Loan Out'!E:E)))</f>
        <v/>
      </c>
      <c r="G58" t="str">
        <f>IF(C58="","",(_xlfn.XLOOKUP(C58,'Loan Out'!A:A,'Loan Out'!F:F)))</f>
        <v/>
      </c>
      <c r="H58" t="str">
        <f>IF(C58="","",(_xlfn.XLOOKUP(C58,'Loan Out'!A:A,'Loan Out'!G:G)))</f>
        <v/>
      </c>
      <c r="I58" t="str">
        <f>IF(C58="","",(_xlfn.XLOOKUP(C58,'Loan Out'!A:A,'Loan Out'!H:H)))</f>
        <v/>
      </c>
      <c r="J58" t="str">
        <f>IF(C58="","",(_xlfn.XLOOKUP(C58,'Loan Out'!A:A,'Loan Out'!I:I)))</f>
        <v/>
      </c>
      <c r="K58" t="str">
        <f>IF(C58="","",(_xlfn.XLOOKUP(C58,'Loan Out'!A:A,'Loan Out'!J:J)))</f>
        <v/>
      </c>
      <c r="L58" t="str">
        <f>IF(C58&lt;&gt;"",(SUMIF(Payments!C:C,C58,Payments!G:G)),"")</f>
        <v/>
      </c>
      <c r="M58" t="str">
        <f t="shared" si="2"/>
        <v/>
      </c>
      <c r="N58" t="str">
        <f t="shared" si="3"/>
        <v/>
      </c>
      <c r="O58" t="str">
        <f t="shared" si="4"/>
        <v/>
      </c>
      <c r="P58" s="1" t="str">
        <f>IF(B58&lt;&gt;"",(IF((_xlfn.XLOOKUP(C58,'Loan Out'!A:A,'Loan Out'!L:L))="Bad debt","Bad debt",IF(M58&gt;0,"Pending","Settled"))),"")</f>
        <v/>
      </c>
    </row>
    <row r="59" spans="1:16">
      <c r="A59" t="str">
        <f t="shared" si="0"/>
        <v/>
      </c>
      <c r="C59" t="str">
        <f t="shared" si="1"/>
        <v/>
      </c>
      <c r="D59" t="str">
        <f>IF(C59="","",(_xlfn.XLOOKUP(C59,'Loan Out'!A:A,'Loan Out'!J:J)))</f>
        <v/>
      </c>
      <c r="E59" t="str">
        <f>IF(C59="","",(_xlfn.XLOOKUP(C59,'Loan Out'!A:A,'Loan Out'!D:D)))</f>
        <v/>
      </c>
      <c r="F59" t="str">
        <f>IF(C59="","",(_xlfn.XLOOKUP(C59,'Loan Out'!A:A,'Loan Out'!E:E)))</f>
        <v/>
      </c>
      <c r="G59" t="str">
        <f>IF(C59="","",(_xlfn.XLOOKUP(C59,'Loan Out'!A:A,'Loan Out'!F:F)))</f>
        <v/>
      </c>
      <c r="H59" t="str">
        <f>IF(C59="","",(_xlfn.XLOOKUP(C59,'Loan Out'!A:A,'Loan Out'!G:G)))</f>
        <v/>
      </c>
      <c r="I59" t="str">
        <f>IF(C59="","",(_xlfn.XLOOKUP(C59,'Loan Out'!A:A,'Loan Out'!H:H)))</f>
        <v/>
      </c>
      <c r="J59" t="str">
        <f>IF(C59="","",(_xlfn.XLOOKUP(C59,'Loan Out'!A:A,'Loan Out'!I:I)))</f>
        <v/>
      </c>
      <c r="K59" t="str">
        <f>IF(C59="","",(_xlfn.XLOOKUP(C59,'Loan Out'!A:A,'Loan Out'!J:J)))</f>
        <v/>
      </c>
      <c r="L59" t="str">
        <f>IF(C59&lt;&gt;"",(SUMIF(Payments!C:C,C59,Payments!G:G)),"")</f>
        <v/>
      </c>
      <c r="M59" t="str">
        <f t="shared" si="2"/>
        <v/>
      </c>
      <c r="N59" t="str">
        <f t="shared" si="3"/>
        <v/>
      </c>
      <c r="O59" t="str">
        <f t="shared" si="4"/>
        <v/>
      </c>
      <c r="P59" s="1" t="str">
        <f>IF(B59&lt;&gt;"",(IF((_xlfn.XLOOKUP(C59,'Loan Out'!A:A,'Loan Out'!L:L))="Bad debt","Bad debt",IF(M59&gt;0,"Pending","Settled"))),"")</f>
        <v/>
      </c>
    </row>
    <row r="60" spans="1:16">
      <c r="A60" t="str">
        <f t="shared" si="0"/>
        <v/>
      </c>
      <c r="C60" t="str">
        <f t="shared" si="1"/>
        <v/>
      </c>
      <c r="D60" t="str">
        <f>IF(C60="","",(_xlfn.XLOOKUP(C60,'Loan Out'!A:A,'Loan Out'!J:J)))</f>
        <v/>
      </c>
      <c r="E60" t="str">
        <f>IF(C60="","",(_xlfn.XLOOKUP(C60,'Loan Out'!A:A,'Loan Out'!D:D)))</f>
        <v/>
      </c>
      <c r="F60" t="str">
        <f>IF(C60="","",(_xlfn.XLOOKUP(C60,'Loan Out'!A:A,'Loan Out'!E:E)))</f>
        <v/>
      </c>
      <c r="G60" t="str">
        <f>IF(C60="","",(_xlfn.XLOOKUP(C60,'Loan Out'!A:A,'Loan Out'!F:F)))</f>
        <v/>
      </c>
      <c r="H60" t="str">
        <f>IF(C60="","",(_xlfn.XLOOKUP(C60,'Loan Out'!A:A,'Loan Out'!G:G)))</f>
        <v/>
      </c>
      <c r="I60" t="str">
        <f>IF(C60="","",(_xlfn.XLOOKUP(C60,'Loan Out'!A:A,'Loan Out'!H:H)))</f>
        <v/>
      </c>
      <c r="J60" t="str">
        <f>IF(C60="","",(_xlfn.XLOOKUP(C60,'Loan Out'!A:A,'Loan Out'!I:I)))</f>
        <v/>
      </c>
      <c r="K60" t="str">
        <f>IF(C60="","",(_xlfn.XLOOKUP(C60,'Loan Out'!A:A,'Loan Out'!J:J)))</f>
        <v/>
      </c>
      <c r="L60" t="str">
        <f>IF(C60&lt;&gt;"",(SUMIF(Payments!C:C,C60,Payments!G:G)),"")</f>
        <v/>
      </c>
      <c r="M60" t="str">
        <f t="shared" si="2"/>
        <v/>
      </c>
      <c r="N60" t="str">
        <f t="shared" si="3"/>
        <v/>
      </c>
      <c r="O60" t="str">
        <f t="shared" si="4"/>
        <v/>
      </c>
      <c r="P60" s="1" t="str">
        <f>IF(B60&lt;&gt;"",(IF((_xlfn.XLOOKUP(C60,'Loan Out'!A:A,'Loan Out'!L:L))="Bad debt","Bad debt",IF(M60&gt;0,"Pending","Settled"))),"")</f>
        <v/>
      </c>
    </row>
    <row r="61" spans="1:16">
      <c r="A61" t="str">
        <f t="shared" si="0"/>
        <v/>
      </c>
      <c r="C61" t="str">
        <f t="shared" si="1"/>
        <v/>
      </c>
      <c r="D61" t="str">
        <f>IF(C61="","",(_xlfn.XLOOKUP(C61,'Loan Out'!A:A,'Loan Out'!J:J)))</f>
        <v/>
      </c>
      <c r="E61" t="str">
        <f>IF(C61="","",(_xlfn.XLOOKUP(C61,'Loan Out'!A:A,'Loan Out'!D:D)))</f>
        <v/>
      </c>
      <c r="F61" t="str">
        <f>IF(C61="","",(_xlfn.XLOOKUP(C61,'Loan Out'!A:A,'Loan Out'!E:E)))</f>
        <v/>
      </c>
      <c r="G61" t="str">
        <f>IF(C61="","",(_xlfn.XLOOKUP(C61,'Loan Out'!A:A,'Loan Out'!F:F)))</f>
        <v/>
      </c>
      <c r="H61" t="str">
        <f>IF(C61="","",(_xlfn.XLOOKUP(C61,'Loan Out'!A:A,'Loan Out'!G:G)))</f>
        <v/>
      </c>
      <c r="I61" t="str">
        <f>IF(C61="","",(_xlfn.XLOOKUP(C61,'Loan Out'!A:A,'Loan Out'!H:H)))</f>
        <v/>
      </c>
      <c r="J61" t="str">
        <f>IF(C61="","",(_xlfn.XLOOKUP(C61,'Loan Out'!A:A,'Loan Out'!I:I)))</f>
        <v/>
      </c>
      <c r="K61" t="str">
        <f>IF(C61="","",(_xlfn.XLOOKUP(C61,'Loan Out'!A:A,'Loan Out'!J:J)))</f>
        <v/>
      </c>
      <c r="L61" t="str">
        <f>IF(C61&lt;&gt;"",(SUMIF(Payments!C:C,C61,Payments!G:G)),"")</f>
        <v/>
      </c>
      <c r="M61" t="str">
        <f t="shared" si="2"/>
        <v/>
      </c>
      <c r="N61" t="str">
        <f t="shared" si="3"/>
        <v/>
      </c>
      <c r="O61" t="str">
        <f t="shared" si="4"/>
        <v/>
      </c>
      <c r="P61" s="1" t="str">
        <f>IF(B61&lt;&gt;"",(IF((_xlfn.XLOOKUP(C61,'Loan Out'!A:A,'Loan Out'!L:L))="Bad debt","Bad debt",IF(M61&gt;0,"Pending","Settled"))),"")</f>
        <v/>
      </c>
    </row>
    <row r="62" spans="1:16">
      <c r="A62" t="str">
        <f t="shared" si="0"/>
        <v/>
      </c>
      <c r="C62" t="str">
        <f t="shared" si="1"/>
        <v/>
      </c>
      <c r="D62" t="str">
        <f>IF(C62="","",(_xlfn.XLOOKUP(C62,'Loan Out'!A:A,'Loan Out'!J:J)))</f>
        <v/>
      </c>
      <c r="E62" t="str">
        <f>IF(C62="","",(_xlfn.XLOOKUP(C62,'Loan Out'!A:A,'Loan Out'!D:D)))</f>
        <v/>
      </c>
      <c r="F62" t="str">
        <f>IF(C62="","",(_xlfn.XLOOKUP(C62,'Loan Out'!A:A,'Loan Out'!E:E)))</f>
        <v/>
      </c>
      <c r="G62" t="str">
        <f>IF(C62="","",(_xlfn.XLOOKUP(C62,'Loan Out'!A:A,'Loan Out'!F:F)))</f>
        <v/>
      </c>
      <c r="H62" t="str">
        <f>IF(C62="","",(_xlfn.XLOOKUP(C62,'Loan Out'!A:A,'Loan Out'!G:G)))</f>
        <v/>
      </c>
      <c r="I62" t="str">
        <f>IF(C62="","",(_xlfn.XLOOKUP(C62,'Loan Out'!A:A,'Loan Out'!H:H)))</f>
        <v/>
      </c>
      <c r="J62" t="str">
        <f>IF(C62="","",(_xlfn.XLOOKUP(C62,'Loan Out'!A:A,'Loan Out'!I:I)))</f>
        <v/>
      </c>
      <c r="K62" t="str">
        <f>IF(C62="","",(_xlfn.XLOOKUP(C62,'Loan Out'!A:A,'Loan Out'!J:J)))</f>
        <v/>
      </c>
      <c r="L62" t="str">
        <f>IF(C62&lt;&gt;"",(SUMIF(Payments!C:C,C62,Payments!G:G)),"")</f>
        <v/>
      </c>
      <c r="M62" t="str">
        <f t="shared" si="2"/>
        <v/>
      </c>
      <c r="N62" t="str">
        <f t="shared" si="3"/>
        <v/>
      </c>
      <c r="O62" t="str">
        <f t="shared" si="4"/>
        <v/>
      </c>
      <c r="P62" s="1" t="str">
        <f>IF(B62&lt;&gt;"",(IF((_xlfn.XLOOKUP(C62,'Loan Out'!A:A,'Loan Out'!L:L))="Bad debt","Bad debt",IF(M62&gt;0,"Pending","Settled"))),"")</f>
        <v/>
      </c>
    </row>
    <row r="63" spans="1:16">
      <c r="A63" t="str">
        <f t="shared" si="0"/>
        <v/>
      </c>
      <c r="C63" t="str">
        <f t="shared" si="1"/>
        <v/>
      </c>
      <c r="D63" t="str">
        <f>IF(C63="","",(_xlfn.XLOOKUP(C63,'Loan Out'!A:A,'Loan Out'!J:J)))</f>
        <v/>
      </c>
      <c r="E63" t="str">
        <f>IF(C63="","",(_xlfn.XLOOKUP(C63,'Loan Out'!A:A,'Loan Out'!D:D)))</f>
        <v/>
      </c>
      <c r="F63" t="str">
        <f>IF(C63="","",(_xlfn.XLOOKUP(C63,'Loan Out'!A:A,'Loan Out'!E:E)))</f>
        <v/>
      </c>
      <c r="G63" t="str">
        <f>IF(C63="","",(_xlfn.XLOOKUP(C63,'Loan Out'!A:A,'Loan Out'!F:F)))</f>
        <v/>
      </c>
      <c r="H63" t="str">
        <f>IF(C63="","",(_xlfn.XLOOKUP(C63,'Loan Out'!A:A,'Loan Out'!G:G)))</f>
        <v/>
      </c>
      <c r="I63" t="str">
        <f>IF(C63="","",(_xlfn.XLOOKUP(C63,'Loan Out'!A:A,'Loan Out'!H:H)))</f>
        <v/>
      </c>
      <c r="J63" t="str">
        <f>IF(C63="","",(_xlfn.XLOOKUP(C63,'Loan Out'!A:A,'Loan Out'!I:I)))</f>
        <v/>
      </c>
      <c r="K63" t="str">
        <f>IF(C63="","",(_xlfn.XLOOKUP(C63,'Loan Out'!A:A,'Loan Out'!J:J)))</f>
        <v/>
      </c>
      <c r="L63" t="str">
        <f>IF(C63&lt;&gt;"",(SUMIF(Payments!C:C,C63,Payments!G:G)),"")</f>
        <v/>
      </c>
      <c r="M63" t="str">
        <f t="shared" si="2"/>
        <v/>
      </c>
      <c r="N63" t="str">
        <f t="shared" si="3"/>
        <v/>
      </c>
      <c r="O63" t="str">
        <f t="shared" si="4"/>
        <v/>
      </c>
      <c r="P63" s="1" t="str">
        <f>IF(B63&lt;&gt;"",(IF((_xlfn.XLOOKUP(C63,'Loan Out'!A:A,'Loan Out'!L:L))="Bad debt","Bad debt",IF(M63&gt;0,"Pending","Settled"))),"")</f>
        <v/>
      </c>
    </row>
    <row r="64" spans="1:16">
      <c r="A64" t="str">
        <f t="shared" si="0"/>
        <v/>
      </c>
      <c r="C64" t="str">
        <f t="shared" si="1"/>
        <v/>
      </c>
      <c r="D64" t="str">
        <f>IF(C64="","",(_xlfn.XLOOKUP(C64,'Loan Out'!A:A,'Loan Out'!J:J)))</f>
        <v/>
      </c>
      <c r="E64" t="str">
        <f>IF(C64="","",(_xlfn.XLOOKUP(C64,'Loan Out'!A:A,'Loan Out'!D:D)))</f>
        <v/>
      </c>
      <c r="F64" t="str">
        <f>IF(C64="","",(_xlfn.XLOOKUP(C64,'Loan Out'!A:A,'Loan Out'!E:E)))</f>
        <v/>
      </c>
      <c r="G64" t="str">
        <f>IF(C64="","",(_xlfn.XLOOKUP(C64,'Loan Out'!A:A,'Loan Out'!F:F)))</f>
        <v/>
      </c>
      <c r="H64" t="str">
        <f>IF(C64="","",(_xlfn.XLOOKUP(C64,'Loan Out'!A:A,'Loan Out'!G:G)))</f>
        <v/>
      </c>
      <c r="I64" t="str">
        <f>IF(C64="","",(_xlfn.XLOOKUP(C64,'Loan Out'!A:A,'Loan Out'!H:H)))</f>
        <v/>
      </c>
      <c r="J64" t="str">
        <f>IF(C64="","",(_xlfn.XLOOKUP(C64,'Loan Out'!A:A,'Loan Out'!I:I)))</f>
        <v/>
      </c>
      <c r="K64" t="str">
        <f>IF(C64="","",(_xlfn.XLOOKUP(C64,'Loan Out'!A:A,'Loan Out'!J:J)))</f>
        <v/>
      </c>
      <c r="L64" t="str">
        <f>IF(C64&lt;&gt;"",(SUMIF(Payments!C:C,C64,Payments!G:G)),"")</f>
        <v/>
      </c>
      <c r="M64" t="str">
        <f t="shared" si="2"/>
        <v/>
      </c>
      <c r="N64" t="str">
        <f t="shared" si="3"/>
        <v/>
      </c>
      <c r="O64" t="str">
        <f t="shared" si="4"/>
        <v/>
      </c>
      <c r="P64" s="1" t="str">
        <f>IF(B64&lt;&gt;"",(IF((_xlfn.XLOOKUP(C64,'Loan Out'!A:A,'Loan Out'!L:L))="Bad debt","Bad debt",IF(M64&gt;0,"Pending","Settled"))),"")</f>
        <v/>
      </c>
    </row>
    <row r="65" spans="1:16">
      <c r="A65" t="str">
        <f t="shared" si="0"/>
        <v/>
      </c>
      <c r="C65" t="str">
        <f t="shared" si="1"/>
        <v/>
      </c>
      <c r="D65" t="str">
        <f>IF(C65="","",(_xlfn.XLOOKUP(C65,'Loan Out'!A:A,'Loan Out'!J:J)))</f>
        <v/>
      </c>
      <c r="E65" t="str">
        <f>IF(C65="","",(_xlfn.XLOOKUP(C65,'Loan Out'!A:A,'Loan Out'!D:D)))</f>
        <v/>
      </c>
      <c r="F65" t="str">
        <f>IF(C65="","",(_xlfn.XLOOKUP(C65,'Loan Out'!A:A,'Loan Out'!E:E)))</f>
        <v/>
      </c>
      <c r="G65" t="str">
        <f>IF(C65="","",(_xlfn.XLOOKUP(C65,'Loan Out'!A:A,'Loan Out'!F:F)))</f>
        <v/>
      </c>
      <c r="H65" t="str">
        <f>IF(C65="","",(_xlfn.XLOOKUP(C65,'Loan Out'!A:A,'Loan Out'!G:G)))</f>
        <v/>
      </c>
      <c r="I65" t="str">
        <f>IF(C65="","",(_xlfn.XLOOKUP(C65,'Loan Out'!A:A,'Loan Out'!H:H)))</f>
        <v/>
      </c>
      <c r="J65" t="str">
        <f>IF(C65="","",(_xlfn.XLOOKUP(C65,'Loan Out'!A:A,'Loan Out'!I:I)))</f>
        <v/>
      </c>
      <c r="K65" t="str">
        <f>IF(C65="","",(_xlfn.XLOOKUP(C65,'Loan Out'!A:A,'Loan Out'!J:J)))</f>
        <v/>
      </c>
      <c r="L65" t="str">
        <f>IF(C65&lt;&gt;"",(SUMIF(Payments!C:C,C65,Payments!G:G)),"")</f>
        <v/>
      </c>
      <c r="M65" t="str">
        <f t="shared" si="2"/>
        <v/>
      </c>
      <c r="N65" t="str">
        <f t="shared" si="3"/>
        <v/>
      </c>
      <c r="O65" t="str">
        <f t="shared" si="4"/>
        <v/>
      </c>
      <c r="P65" s="1" t="str">
        <f>IF(B65&lt;&gt;"",(IF((_xlfn.XLOOKUP(C65,'Loan Out'!A:A,'Loan Out'!L:L))="Bad debt","Bad debt",IF(M65&gt;0,"Pending","Settled"))),"")</f>
        <v/>
      </c>
    </row>
    <row r="66" spans="1:16">
      <c r="A66" t="str">
        <f t="shared" si="0"/>
        <v/>
      </c>
      <c r="C66" t="str">
        <f t="shared" si="1"/>
        <v/>
      </c>
      <c r="D66" t="str">
        <f>IF(C66="","",(_xlfn.XLOOKUP(C66,'Loan Out'!A:A,'Loan Out'!J:J)))</f>
        <v/>
      </c>
      <c r="E66" t="str">
        <f>IF(C66="","",(_xlfn.XLOOKUP(C66,'Loan Out'!A:A,'Loan Out'!D:D)))</f>
        <v/>
      </c>
      <c r="F66" t="str">
        <f>IF(C66="","",(_xlfn.XLOOKUP(C66,'Loan Out'!A:A,'Loan Out'!E:E)))</f>
        <v/>
      </c>
      <c r="G66" t="str">
        <f>IF(C66="","",(_xlfn.XLOOKUP(C66,'Loan Out'!A:A,'Loan Out'!F:F)))</f>
        <v/>
      </c>
      <c r="H66" t="str">
        <f>IF(C66="","",(_xlfn.XLOOKUP(C66,'Loan Out'!A:A,'Loan Out'!G:G)))</f>
        <v/>
      </c>
      <c r="I66" t="str">
        <f>IF(C66="","",(_xlfn.XLOOKUP(C66,'Loan Out'!A:A,'Loan Out'!H:H)))</f>
        <v/>
      </c>
      <c r="J66" t="str">
        <f>IF(C66="","",(_xlfn.XLOOKUP(C66,'Loan Out'!A:A,'Loan Out'!I:I)))</f>
        <v/>
      </c>
      <c r="K66" t="str">
        <f>IF(C66="","",(_xlfn.XLOOKUP(C66,'Loan Out'!A:A,'Loan Out'!J:J)))</f>
        <v/>
      </c>
      <c r="L66" t="str">
        <f>IF(C66&lt;&gt;"",(SUMIF(Payments!C:C,C66,Payments!G:G)),"")</f>
        <v/>
      </c>
      <c r="M66" t="str">
        <f t="shared" si="2"/>
        <v/>
      </c>
      <c r="N66" t="str">
        <f t="shared" si="3"/>
        <v/>
      </c>
      <c r="O66" t="str">
        <f t="shared" si="4"/>
        <v/>
      </c>
      <c r="P66" s="1" t="str">
        <f>IF(B66&lt;&gt;"",(IF((_xlfn.XLOOKUP(C66,'Loan Out'!A:A,'Loan Out'!L:L))="Bad debt","Bad debt",IF(M66&gt;0,"Pending","Settled"))),"")</f>
        <v/>
      </c>
    </row>
    <row r="67" spans="1:16">
      <c r="A67" t="str">
        <f t="shared" ref="A67:A130" si="5">IF(C67&lt;&gt;"","Entry"&amp;ROW()-1,"")</f>
        <v/>
      </c>
      <c r="C67" t="str">
        <f t="shared" ref="C67:C130" si="6">IF(B67&lt;&gt;"",(LEFT(B67,FIND(" |",B67)-1)),"")</f>
        <v/>
      </c>
      <c r="D67" t="str">
        <f>IF(C67="","",(_xlfn.XLOOKUP(C67,'Loan Out'!A:A,'Loan Out'!J:J)))</f>
        <v/>
      </c>
      <c r="E67" t="str">
        <f>IF(C67="","",(_xlfn.XLOOKUP(C67,'Loan Out'!A:A,'Loan Out'!D:D)))</f>
        <v/>
      </c>
      <c r="F67" t="str">
        <f>IF(C67="","",(_xlfn.XLOOKUP(C67,'Loan Out'!A:A,'Loan Out'!E:E)))</f>
        <v/>
      </c>
      <c r="G67" t="str">
        <f>IF(C67="","",(_xlfn.XLOOKUP(C67,'Loan Out'!A:A,'Loan Out'!F:F)))</f>
        <v/>
      </c>
      <c r="H67" t="str">
        <f>IF(C67="","",(_xlfn.XLOOKUP(C67,'Loan Out'!A:A,'Loan Out'!G:G)))</f>
        <v/>
      </c>
      <c r="I67" t="str">
        <f>IF(C67="","",(_xlfn.XLOOKUP(C67,'Loan Out'!A:A,'Loan Out'!H:H)))</f>
        <v/>
      </c>
      <c r="J67" t="str">
        <f>IF(C67="","",(_xlfn.XLOOKUP(C67,'Loan Out'!A:A,'Loan Out'!I:I)))</f>
        <v/>
      </c>
      <c r="K67" t="str">
        <f>IF(C67="","",(_xlfn.XLOOKUP(C67,'Loan Out'!A:A,'Loan Out'!J:J)))</f>
        <v/>
      </c>
      <c r="L67" t="str">
        <f>IF(C67&lt;&gt;"",(SUMIF(Payments!C:C,C67,Payments!G:G)),"")</f>
        <v/>
      </c>
      <c r="M67" t="str">
        <f t="shared" ref="M67:M130" si="7">IF(C67&lt;&gt;"",(J67-L67),"")</f>
        <v/>
      </c>
      <c r="N67" t="str">
        <f t="shared" ref="N67:N130" si="8">IF(B67&lt;&gt;"",(IF(L67&gt;G67,(L67-G67),0)),"")</f>
        <v/>
      </c>
      <c r="O67" t="str">
        <f t="shared" ref="O67:O130" si="9">IF(B67&lt;&gt;"",(IF(P67="Bad debt",M67,0)),"")</f>
        <v/>
      </c>
      <c r="P67" s="1" t="str">
        <f>IF(B67&lt;&gt;"",(IF((_xlfn.XLOOKUP(C67,'Loan Out'!A:A,'Loan Out'!L:L))="Bad debt","Bad debt",IF(M67&gt;0,"Pending","Settled"))),"")</f>
        <v/>
      </c>
    </row>
    <row r="68" spans="1:16">
      <c r="A68" t="str">
        <f t="shared" si="5"/>
        <v/>
      </c>
      <c r="C68" t="str">
        <f t="shared" si="6"/>
        <v/>
      </c>
      <c r="D68" t="str">
        <f>IF(C68="","",(_xlfn.XLOOKUP(C68,'Loan Out'!A:A,'Loan Out'!J:J)))</f>
        <v/>
      </c>
      <c r="E68" t="str">
        <f>IF(C68="","",(_xlfn.XLOOKUP(C68,'Loan Out'!A:A,'Loan Out'!D:D)))</f>
        <v/>
      </c>
      <c r="F68" t="str">
        <f>IF(C68="","",(_xlfn.XLOOKUP(C68,'Loan Out'!A:A,'Loan Out'!E:E)))</f>
        <v/>
      </c>
      <c r="G68" t="str">
        <f>IF(C68="","",(_xlfn.XLOOKUP(C68,'Loan Out'!A:A,'Loan Out'!F:F)))</f>
        <v/>
      </c>
      <c r="H68" t="str">
        <f>IF(C68="","",(_xlfn.XLOOKUP(C68,'Loan Out'!A:A,'Loan Out'!G:G)))</f>
        <v/>
      </c>
      <c r="I68" t="str">
        <f>IF(C68="","",(_xlfn.XLOOKUP(C68,'Loan Out'!A:A,'Loan Out'!H:H)))</f>
        <v/>
      </c>
      <c r="J68" t="str">
        <f>IF(C68="","",(_xlfn.XLOOKUP(C68,'Loan Out'!A:A,'Loan Out'!I:I)))</f>
        <v/>
      </c>
      <c r="K68" t="str">
        <f>IF(C68="","",(_xlfn.XLOOKUP(C68,'Loan Out'!A:A,'Loan Out'!J:J)))</f>
        <v/>
      </c>
      <c r="L68" t="str">
        <f>IF(C68&lt;&gt;"",(SUMIF(Payments!C:C,C68,Payments!G:G)),"")</f>
        <v/>
      </c>
      <c r="M68" t="str">
        <f t="shared" si="7"/>
        <v/>
      </c>
      <c r="N68" t="str">
        <f t="shared" si="8"/>
        <v/>
      </c>
      <c r="O68" t="str">
        <f t="shared" si="9"/>
        <v/>
      </c>
      <c r="P68" s="1" t="str">
        <f>IF(B68&lt;&gt;"",(IF((_xlfn.XLOOKUP(C68,'Loan Out'!A:A,'Loan Out'!L:L))="Bad debt","Bad debt",IF(M68&gt;0,"Pending","Settled"))),"")</f>
        <v/>
      </c>
    </row>
    <row r="69" spans="1:16">
      <c r="A69" t="str">
        <f t="shared" si="5"/>
        <v/>
      </c>
      <c r="C69" t="str">
        <f t="shared" si="6"/>
        <v/>
      </c>
      <c r="D69" t="str">
        <f>IF(C69="","",(_xlfn.XLOOKUP(C69,'Loan Out'!A:A,'Loan Out'!J:J)))</f>
        <v/>
      </c>
      <c r="E69" t="str">
        <f>IF(C69="","",(_xlfn.XLOOKUP(C69,'Loan Out'!A:A,'Loan Out'!D:D)))</f>
        <v/>
      </c>
      <c r="F69" t="str">
        <f>IF(C69="","",(_xlfn.XLOOKUP(C69,'Loan Out'!A:A,'Loan Out'!E:E)))</f>
        <v/>
      </c>
      <c r="G69" t="str">
        <f>IF(C69="","",(_xlfn.XLOOKUP(C69,'Loan Out'!A:A,'Loan Out'!F:F)))</f>
        <v/>
      </c>
      <c r="H69" t="str">
        <f>IF(C69="","",(_xlfn.XLOOKUP(C69,'Loan Out'!A:A,'Loan Out'!G:G)))</f>
        <v/>
      </c>
      <c r="I69" t="str">
        <f>IF(C69="","",(_xlfn.XLOOKUP(C69,'Loan Out'!A:A,'Loan Out'!H:H)))</f>
        <v/>
      </c>
      <c r="J69" t="str">
        <f>IF(C69="","",(_xlfn.XLOOKUP(C69,'Loan Out'!A:A,'Loan Out'!I:I)))</f>
        <v/>
      </c>
      <c r="K69" t="str">
        <f>IF(C69="","",(_xlfn.XLOOKUP(C69,'Loan Out'!A:A,'Loan Out'!J:J)))</f>
        <v/>
      </c>
      <c r="L69" t="str">
        <f>IF(C69&lt;&gt;"",(SUMIF(Payments!C:C,C69,Payments!G:G)),"")</f>
        <v/>
      </c>
      <c r="M69" t="str">
        <f t="shared" si="7"/>
        <v/>
      </c>
      <c r="N69" t="str">
        <f t="shared" si="8"/>
        <v/>
      </c>
      <c r="O69" t="str">
        <f t="shared" si="9"/>
        <v/>
      </c>
      <c r="P69" s="1" t="str">
        <f>IF(B69&lt;&gt;"",(IF((_xlfn.XLOOKUP(C69,'Loan Out'!A:A,'Loan Out'!L:L))="Bad debt","Bad debt",IF(M69&gt;0,"Pending","Settled"))),"")</f>
        <v/>
      </c>
    </row>
    <row r="70" spans="1:16">
      <c r="A70" t="str">
        <f t="shared" si="5"/>
        <v/>
      </c>
      <c r="C70" t="str">
        <f t="shared" si="6"/>
        <v/>
      </c>
      <c r="D70" t="str">
        <f>IF(C70="","",(_xlfn.XLOOKUP(C70,'Loan Out'!A:A,'Loan Out'!J:J)))</f>
        <v/>
      </c>
      <c r="E70" t="str">
        <f>IF(C70="","",(_xlfn.XLOOKUP(C70,'Loan Out'!A:A,'Loan Out'!D:D)))</f>
        <v/>
      </c>
      <c r="F70" t="str">
        <f>IF(C70="","",(_xlfn.XLOOKUP(C70,'Loan Out'!A:A,'Loan Out'!E:E)))</f>
        <v/>
      </c>
      <c r="G70" t="str">
        <f>IF(C70="","",(_xlfn.XLOOKUP(C70,'Loan Out'!A:A,'Loan Out'!F:F)))</f>
        <v/>
      </c>
      <c r="H70" t="str">
        <f>IF(C70="","",(_xlfn.XLOOKUP(C70,'Loan Out'!A:A,'Loan Out'!G:G)))</f>
        <v/>
      </c>
      <c r="I70" t="str">
        <f>IF(C70="","",(_xlfn.XLOOKUP(C70,'Loan Out'!A:A,'Loan Out'!H:H)))</f>
        <v/>
      </c>
      <c r="J70" t="str">
        <f>IF(C70="","",(_xlfn.XLOOKUP(C70,'Loan Out'!A:A,'Loan Out'!I:I)))</f>
        <v/>
      </c>
      <c r="K70" t="str">
        <f>IF(C70="","",(_xlfn.XLOOKUP(C70,'Loan Out'!A:A,'Loan Out'!J:J)))</f>
        <v/>
      </c>
      <c r="L70" t="str">
        <f>IF(C70&lt;&gt;"",(SUMIF(Payments!C:C,C70,Payments!G:G)),"")</f>
        <v/>
      </c>
      <c r="M70" t="str">
        <f t="shared" si="7"/>
        <v/>
      </c>
      <c r="N70" t="str">
        <f t="shared" si="8"/>
        <v/>
      </c>
      <c r="O70" t="str">
        <f t="shared" si="9"/>
        <v/>
      </c>
      <c r="P70" s="1" t="str">
        <f>IF(B70&lt;&gt;"",(IF((_xlfn.XLOOKUP(C70,'Loan Out'!A:A,'Loan Out'!L:L))="Bad debt","Bad debt",IF(M70&gt;0,"Pending","Settled"))),"")</f>
        <v/>
      </c>
    </row>
    <row r="71" spans="1:16">
      <c r="A71" t="str">
        <f t="shared" si="5"/>
        <v/>
      </c>
      <c r="C71" t="str">
        <f t="shared" si="6"/>
        <v/>
      </c>
      <c r="D71" t="str">
        <f>IF(C71="","",(_xlfn.XLOOKUP(C71,'Loan Out'!A:A,'Loan Out'!J:J)))</f>
        <v/>
      </c>
      <c r="E71" t="str">
        <f>IF(C71="","",(_xlfn.XLOOKUP(C71,'Loan Out'!A:A,'Loan Out'!D:D)))</f>
        <v/>
      </c>
      <c r="F71" t="str">
        <f>IF(C71="","",(_xlfn.XLOOKUP(C71,'Loan Out'!A:A,'Loan Out'!E:E)))</f>
        <v/>
      </c>
      <c r="G71" t="str">
        <f>IF(C71="","",(_xlfn.XLOOKUP(C71,'Loan Out'!A:A,'Loan Out'!F:F)))</f>
        <v/>
      </c>
      <c r="H71" t="str">
        <f>IF(C71="","",(_xlfn.XLOOKUP(C71,'Loan Out'!A:A,'Loan Out'!G:G)))</f>
        <v/>
      </c>
      <c r="I71" t="str">
        <f>IF(C71="","",(_xlfn.XLOOKUP(C71,'Loan Out'!A:A,'Loan Out'!H:H)))</f>
        <v/>
      </c>
      <c r="J71" t="str">
        <f>IF(C71="","",(_xlfn.XLOOKUP(C71,'Loan Out'!A:A,'Loan Out'!I:I)))</f>
        <v/>
      </c>
      <c r="K71" t="str">
        <f>IF(C71="","",(_xlfn.XLOOKUP(C71,'Loan Out'!A:A,'Loan Out'!J:J)))</f>
        <v/>
      </c>
      <c r="L71" t="str">
        <f>IF(C71&lt;&gt;"",(SUMIF(Payments!C:C,C71,Payments!G:G)),"")</f>
        <v/>
      </c>
      <c r="M71" t="str">
        <f t="shared" si="7"/>
        <v/>
      </c>
      <c r="N71" t="str">
        <f t="shared" si="8"/>
        <v/>
      </c>
      <c r="O71" t="str">
        <f t="shared" si="9"/>
        <v/>
      </c>
      <c r="P71" s="1" t="str">
        <f>IF(B71&lt;&gt;"",(IF((_xlfn.XLOOKUP(C71,'Loan Out'!A:A,'Loan Out'!L:L))="Bad debt","Bad debt",IF(M71&gt;0,"Pending","Settled"))),"")</f>
        <v/>
      </c>
    </row>
    <row r="72" spans="1:16">
      <c r="A72" t="str">
        <f t="shared" si="5"/>
        <v/>
      </c>
      <c r="C72" t="str">
        <f t="shared" si="6"/>
        <v/>
      </c>
      <c r="D72" t="str">
        <f>IF(C72="","",(_xlfn.XLOOKUP(C72,'Loan Out'!A:A,'Loan Out'!J:J)))</f>
        <v/>
      </c>
      <c r="E72" t="str">
        <f>IF(C72="","",(_xlfn.XLOOKUP(C72,'Loan Out'!A:A,'Loan Out'!D:D)))</f>
        <v/>
      </c>
      <c r="F72" t="str">
        <f>IF(C72="","",(_xlfn.XLOOKUP(C72,'Loan Out'!A:A,'Loan Out'!E:E)))</f>
        <v/>
      </c>
      <c r="G72" t="str">
        <f>IF(C72="","",(_xlfn.XLOOKUP(C72,'Loan Out'!A:A,'Loan Out'!F:F)))</f>
        <v/>
      </c>
      <c r="H72" t="str">
        <f>IF(C72="","",(_xlfn.XLOOKUP(C72,'Loan Out'!A:A,'Loan Out'!G:G)))</f>
        <v/>
      </c>
      <c r="I72" t="str">
        <f>IF(C72="","",(_xlfn.XLOOKUP(C72,'Loan Out'!A:A,'Loan Out'!H:H)))</f>
        <v/>
      </c>
      <c r="J72" t="str">
        <f>IF(C72="","",(_xlfn.XLOOKUP(C72,'Loan Out'!A:A,'Loan Out'!I:I)))</f>
        <v/>
      </c>
      <c r="K72" t="str">
        <f>IF(C72="","",(_xlfn.XLOOKUP(C72,'Loan Out'!A:A,'Loan Out'!J:J)))</f>
        <v/>
      </c>
      <c r="L72" t="str">
        <f>IF(C72&lt;&gt;"",(SUMIF(Payments!C:C,C72,Payments!G:G)),"")</f>
        <v/>
      </c>
      <c r="M72" t="str">
        <f t="shared" si="7"/>
        <v/>
      </c>
      <c r="N72" t="str">
        <f t="shared" si="8"/>
        <v/>
      </c>
      <c r="O72" t="str">
        <f t="shared" si="9"/>
        <v/>
      </c>
      <c r="P72" s="1" t="str">
        <f>IF(B72&lt;&gt;"",(IF((_xlfn.XLOOKUP(C72,'Loan Out'!A:A,'Loan Out'!L:L))="Bad debt","Bad debt",IF(M72&gt;0,"Pending","Settled"))),"")</f>
        <v/>
      </c>
    </row>
    <row r="73" spans="1:16">
      <c r="A73" t="str">
        <f t="shared" si="5"/>
        <v/>
      </c>
      <c r="C73" t="str">
        <f t="shared" si="6"/>
        <v/>
      </c>
      <c r="D73" t="str">
        <f>IF(C73="","",(_xlfn.XLOOKUP(C73,'Loan Out'!A:A,'Loan Out'!J:J)))</f>
        <v/>
      </c>
      <c r="E73" t="str">
        <f>IF(C73="","",(_xlfn.XLOOKUP(C73,'Loan Out'!A:A,'Loan Out'!D:D)))</f>
        <v/>
      </c>
      <c r="F73" t="str">
        <f>IF(C73="","",(_xlfn.XLOOKUP(C73,'Loan Out'!A:A,'Loan Out'!E:E)))</f>
        <v/>
      </c>
      <c r="G73" t="str">
        <f>IF(C73="","",(_xlfn.XLOOKUP(C73,'Loan Out'!A:A,'Loan Out'!F:F)))</f>
        <v/>
      </c>
      <c r="H73" t="str">
        <f>IF(C73="","",(_xlfn.XLOOKUP(C73,'Loan Out'!A:A,'Loan Out'!G:G)))</f>
        <v/>
      </c>
      <c r="I73" t="str">
        <f>IF(C73="","",(_xlfn.XLOOKUP(C73,'Loan Out'!A:A,'Loan Out'!H:H)))</f>
        <v/>
      </c>
      <c r="J73" t="str">
        <f>IF(C73="","",(_xlfn.XLOOKUP(C73,'Loan Out'!A:A,'Loan Out'!I:I)))</f>
        <v/>
      </c>
      <c r="K73" t="str">
        <f>IF(C73="","",(_xlfn.XLOOKUP(C73,'Loan Out'!A:A,'Loan Out'!J:J)))</f>
        <v/>
      </c>
      <c r="L73" t="str">
        <f>IF(C73&lt;&gt;"",(SUMIF(Payments!C:C,C73,Payments!G:G)),"")</f>
        <v/>
      </c>
      <c r="M73" t="str">
        <f t="shared" si="7"/>
        <v/>
      </c>
      <c r="N73" t="str">
        <f t="shared" si="8"/>
        <v/>
      </c>
      <c r="O73" t="str">
        <f t="shared" si="9"/>
        <v/>
      </c>
      <c r="P73" s="1" t="str">
        <f>IF(B73&lt;&gt;"",(IF((_xlfn.XLOOKUP(C73,'Loan Out'!A:A,'Loan Out'!L:L))="Bad debt","Bad debt",IF(M73&gt;0,"Pending","Settled"))),"")</f>
        <v/>
      </c>
    </row>
    <row r="74" spans="1:16">
      <c r="A74" t="str">
        <f t="shared" si="5"/>
        <v/>
      </c>
      <c r="C74" t="str">
        <f t="shared" si="6"/>
        <v/>
      </c>
      <c r="D74" t="str">
        <f>IF(C74="","",(_xlfn.XLOOKUP(C74,'Loan Out'!A:A,'Loan Out'!J:J)))</f>
        <v/>
      </c>
      <c r="E74" t="str">
        <f>IF(C74="","",(_xlfn.XLOOKUP(C74,'Loan Out'!A:A,'Loan Out'!D:D)))</f>
        <v/>
      </c>
      <c r="F74" t="str">
        <f>IF(C74="","",(_xlfn.XLOOKUP(C74,'Loan Out'!A:A,'Loan Out'!E:E)))</f>
        <v/>
      </c>
      <c r="G74" t="str">
        <f>IF(C74="","",(_xlfn.XLOOKUP(C74,'Loan Out'!A:A,'Loan Out'!F:F)))</f>
        <v/>
      </c>
      <c r="H74" t="str">
        <f>IF(C74="","",(_xlfn.XLOOKUP(C74,'Loan Out'!A:A,'Loan Out'!G:G)))</f>
        <v/>
      </c>
      <c r="I74" t="str">
        <f>IF(C74="","",(_xlfn.XLOOKUP(C74,'Loan Out'!A:A,'Loan Out'!H:H)))</f>
        <v/>
      </c>
      <c r="J74" t="str">
        <f>IF(C74="","",(_xlfn.XLOOKUP(C74,'Loan Out'!A:A,'Loan Out'!I:I)))</f>
        <v/>
      </c>
      <c r="K74" t="str">
        <f>IF(C74="","",(_xlfn.XLOOKUP(C74,'Loan Out'!A:A,'Loan Out'!J:J)))</f>
        <v/>
      </c>
      <c r="L74" t="str">
        <f>IF(C74&lt;&gt;"",(SUMIF(Payments!C:C,C74,Payments!G:G)),"")</f>
        <v/>
      </c>
      <c r="M74" t="str">
        <f t="shared" si="7"/>
        <v/>
      </c>
      <c r="N74" t="str">
        <f t="shared" si="8"/>
        <v/>
      </c>
      <c r="O74" t="str">
        <f t="shared" si="9"/>
        <v/>
      </c>
      <c r="P74" s="1" t="str">
        <f>IF(B74&lt;&gt;"",(IF((_xlfn.XLOOKUP(C74,'Loan Out'!A:A,'Loan Out'!L:L))="Bad debt","Bad debt",IF(M74&gt;0,"Pending","Settled"))),"")</f>
        <v/>
      </c>
    </row>
    <row r="75" spans="1:16">
      <c r="A75" t="str">
        <f t="shared" si="5"/>
        <v/>
      </c>
      <c r="C75" t="str">
        <f t="shared" si="6"/>
        <v/>
      </c>
      <c r="D75" t="str">
        <f>IF(C75="","",(_xlfn.XLOOKUP(C75,'Loan Out'!A:A,'Loan Out'!J:J)))</f>
        <v/>
      </c>
      <c r="E75" t="str">
        <f>IF(C75="","",(_xlfn.XLOOKUP(C75,'Loan Out'!A:A,'Loan Out'!D:D)))</f>
        <v/>
      </c>
      <c r="F75" t="str">
        <f>IF(C75="","",(_xlfn.XLOOKUP(C75,'Loan Out'!A:A,'Loan Out'!E:E)))</f>
        <v/>
      </c>
      <c r="G75" t="str">
        <f>IF(C75="","",(_xlfn.XLOOKUP(C75,'Loan Out'!A:A,'Loan Out'!F:F)))</f>
        <v/>
      </c>
      <c r="H75" t="str">
        <f>IF(C75="","",(_xlfn.XLOOKUP(C75,'Loan Out'!A:A,'Loan Out'!G:G)))</f>
        <v/>
      </c>
      <c r="I75" t="str">
        <f>IF(C75="","",(_xlfn.XLOOKUP(C75,'Loan Out'!A:A,'Loan Out'!H:H)))</f>
        <v/>
      </c>
      <c r="J75" t="str">
        <f>IF(C75="","",(_xlfn.XLOOKUP(C75,'Loan Out'!A:A,'Loan Out'!I:I)))</f>
        <v/>
      </c>
      <c r="K75" t="str">
        <f>IF(C75="","",(_xlfn.XLOOKUP(C75,'Loan Out'!A:A,'Loan Out'!J:J)))</f>
        <v/>
      </c>
      <c r="L75" t="str">
        <f>IF(C75&lt;&gt;"",(SUMIF(Payments!C:C,C75,Payments!G:G)),"")</f>
        <v/>
      </c>
      <c r="M75" t="str">
        <f t="shared" si="7"/>
        <v/>
      </c>
      <c r="N75" t="str">
        <f t="shared" si="8"/>
        <v/>
      </c>
      <c r="O75" t="str">
        <f t="shared" si="9"/>
        <v/>
      </c>
      <c r="P75" s="1" t="str">
        <f>IF(B75&lt;&gt;"",(IF((_xlfn.XLOOKUP(C75,'Loan Out'!A:A,'Loan Out'!L:L))="Bad debt","Bad debt",IF(M75&gt;0,"Pending","Settled"))),"")</f>
        <v/>
      </c>
    </row>
    <row r="76" spans="1:16">
      <c r="A76" t="str">
        <f t="shared" si="5"/>
        <v/>
      </c>
      <c r="C76" t="str">
        <f t="shared" si="6"/>
        <v/>
      </c>
      <c r="D76" t="str">
        <f>IF(C76="","",(_xlfn.XLOOKUP(C76,'Loan Out'!A:A,'Loan Out'!J:J)))</f>
        <v/>
      </c>
      <c r="E76" t="str">
        <f>IF(C76="","",(_xlfn.XLOOKUP(C76,'Loan Out'!A:A,'Loan Out'!D:D)))</f>
        <v/>
      </c>
      <c r="F76" t="str">
        <f>IF(C76="","",(_xlfn.XLOOKUP(C76,'Loan Out'!A:A,'Loan Out'!E:E)))</f>
        <v/>
      </c>
      <c r="G76" t="str">
        <f>IF(C76="","",(_xlfn.XLOOKUP(C76,'Loan Out'!A:A,'Loan Out'!F:F)))</f>
        <v/>
      </c>
      <c r="H76" t="str">
        <f>IF(C76="","",(_xlfn.XLOOKUP(C76,'Loan Out'!A:A,'Loan Out'!G:G)))</f>
        <v/>
      </c>
      <c r="I76" t="str">
        <f>IF(C76="","",(_xlfn.XLOOKUP(C76,'Loan Out'!A:A,'Loan Out'!H:H)))</f>
        <v/>
      </c>
      <c r="J76" t="str">
        <f>IF(C76="","",(_xlfn.XLOOKUP(C76,'Loan Out'!A:A,'Loan Out'!I:I)))</f>
        <v/>
      </c>
      <c r="K76" t="str">
        <f>IF(C76="","",(_xlfn.XLOOKUP(C76,'Loan Out'!A:A,'Loan Out'!J:J)))</f>
        <v/>
      </c>
      <c r="L76" t="str">
        <f>IF(C76&lt;&gt;"",(SUMIF(Payments!C:C,C76,Payments!G:G)),"")</f>
        <v/>
      </c>
      <c r="M76" t="str">
        <f t="shared" si="7"/>
        <v/>
      </c>
      <c r="N76" t="str">
        <f t="shared" si="8"/>
        <v/>
      </c>
      <c r="O76" t="str">
        <f t="shared" si="9"/>
        <v/>
      </c>
      <c r="P76" s="1" t="str">
        <f>IF(B76&lt;&gt;"",(IF((_xlfn.XLOOKUP(C76,'Loan Out'!A:A,'Loan Out'!L:L))="Bad debt","Bad debt",IF(M76&gt;0,"Pending","Settled"))),"")</f>
        <v/>
      </c>
    </row>
    <row r="77" spans="1:16">
      <c r="A77" t="str">
        <f t="shared" si="5"/>
        <v/>
      </c>
      <c r="C77" t="str">
        <f t="shared" si="6"/>
        <v/>
      </c>
      <c r="D77" t="str">
        <f>IF(C77="","",(_xlfn.XLOOKUP(C77,'Loan Out'!A:A,'Loan Out'!J:J)))</f>
        <v/>
      </c>
      <c r="E77" t="str">
        <f>IF(C77="","",(_xlfn.XLOOKUP(C77,'Loan Out'!A:A,'Loan Out'!D:D)))</f>
        <v/>
      </c>
      <c r="F77" t="str">
        <f>IF(C77="","",(_xlfn.XLOOKUP(C77,'Loan Out'!A:A,'Loan Out'!E:E)))</f>
        <v/>
      </c>
      <c r="G77" t="str">
        <f>IF(C77="","",(_xlfn.XLOOKUP(C77,'Loan Out'!A:A,'Loan Out'!F:F)))</f>
        <v/>
      </c>
      <c r="H77" t="str">
        <f>IF(C77="","",(_xlfn.XLOOKUP(C77,'Loan Out'!A:A,'Loan Out'!G:G)))</f>
        <v/>
      </c>
      <c r="I77" t="str">
        <f>IF(C77="","",(_xlfn.XLOOKUP(C77,'Loan Out'!A:A,'Loan Out'!H:H)))</f>
        <v/>
      </c>
      <c r="J77" t="str">
        <f>IF(C77="","",(_xlfn.XLOOKUP(C77,'Loan Out'!A:A,'Loan Out'!I:I)))</f>
        <v/>
      </c>
      <c r="K77" t="str">
        <f>IF(C77="","",(_xlfn.XLOOKUP(C77,'Loan Out'!A:A,'Loan Out'!J:J)))</f>
        <v/>
      </c>
      <c r="L77" t="str">
        <f>IF(C77&lt;&gt;"",(SUMIF(Payments!C:C,C77,Payments!G:G)),"")</f>
        <v/>
      </c>
      <c r="M77" t="str">
        <f t="shared" si="7"/>
        <v/>
      </c>
      <c r="N77" t="str">
        <f t="shared" si="8"/>
        <v/>
      </c>
      <c r="O77" t="str">
        <f t="shared" si="9"/>
        <v/>
      </c>
      <c r="P77" s="1" t="str">
        <f>IF(B77&lt;&gt;"",(IF((_xlfn.XLOOKUP(C77,'Loan Out'!A:A,'Loan Out'!L:L))="Bad debt","Bad debt",IF(M77&gt;0,"Pending","Settled"))),"")</f>
        <v/>
      </c>
    </row>
    <row r="78" spans="1:16">
      <c r="A78" t="str">
        <f t="shared" si="5"/>
        <v/>
      </c>
      <c r="C78" t="str">
        <f t="shared" si="6"/>
        <v/>
      </c>
      <c r="D78" t="str">
        <f>IF(C78="","",(_xlfn.XLOOKUP(C78,'Loan Out'!A:A,'Loan Out'!J:J)))</f>
        <v/>
      </c>
      <c r="E78" t="str">
        <f>IF(C78="","",(_xlfn.XLOOKUP(C78,'Loan Out'!A:A,'Loan Out'!D:D)))</f>
        <v/>
      </c>
      <c r="F78" t="str">
        <f>IF(C78="","",(_xlfn.XLOOKUP(C78,'Loan Out'!A:A,'Loan Out'!E:E)))</f>
        <v/>
      </c>
      <c r="G78" t="str">
        <f>IF(C78="","",(_xlfn.XLOOKUP(C78,'Loan Out'!A:A,'Loan Out'!F:F)))</f>
        <v/>
      </c>
      <c r="H78" t="str">
        <f>IF(C78="","",(_xlfn.XLOOKUP(C78,'Loan Out'!A:A,'Loan Out'!G:G)))</f>
        <v/>
      </c>
      <c r="I78" t="str">
        <f>IF(C78="","",(_xlfn.XLOOKUP(C78,'Loan Out'!A:A,'Loan Out'!H:H)))</f>
        <v/>
      </c>
      <c r="J78" t="str">
        <f>IF(C78="","",(_xlfn.XLOOKUP(C78,'Loan Out'!A:A,'Loan Out'!I:I)))</f>
        <v/>
      </c>
      <c r="K78" t="str">
        <f>IF(C78="","",(_xlfn.XLOOKUP(C78,'Loan Out'!A:A,'Loan Out'!J:J)))</f>
        <v/>
      </c>
      <c r="L78" t="str">
        <f>IF(C78&lt;&gt;"",(SUMIF(Payments!C:C,C78,Payments!G:G)),"")</f>
        <v/>
      </c>
      <c r="M78" t="str">
        <f t="shared" si="7"/>
        <v/>
      </c>
      <c r="N78" t="str">
        <f t="shared" si="8"/>
        <v/>
      </c>
      <c r="O78" t="str">
        <f t="shared" si="9"/>
        <v/>
      </c>
      <c r="P78" s="1" t="str">
        <f>IF(B78&lt;&gt;"",(IF((_xlfn.XLOOKUP(C78,'Loan Out'!A:A,'Loan Out'!L:L))="Bad debt","Bad debt",IF(M78&gt;0,"Pending","Settled"))),"")</f>
        <v/>
      </c>
    </row>
    <row r="79" spans="1:16">
      <c r="A79" t="str">
        <f t="shared" si="5"/>
        <v/>
      </c>
      <c r="C79" t="str">
        <f t="shared" si="6"/>
        <v/>
      </c>
      <c r="D79" t="str">
        <f>IF(C79="","",(_xlfn.XLOOKUP(C79,'Loan Out'!A:A,'Loan Out'!J:J)))</f>
        <v/>
      </c>
      <c r="E79" t="str">
        <f>IF(C79="","",(_xlfn.XLOOKUP(C79,'Loan Out'!A:A,'Loan Out'!D:D)))</f>
        <v/>
      </c>
      <c r="F79" t="str">
        <f>IF(C79="","",(_xlfn.XLOOKUP(C79,'Loan Out'!A:A,'Loan Out'!E:E)))</f>
        <v/>
      </c>
      <c r="G79" t="str">
        <f>IF(C79="","",(_xlfn.XLOOKUP(C79,'Loan Out'!A:A,'Loan Out'!F:F)))</f>
        <v/>
      </c>
      <c r="H79" t="str">
        <f>IF(C79="","",(_xlfn.XLOOKUP(C79,'Loan Out'!A:A,'Loan Out'!G:G)))</f>
        <v/>
      </c>
      <c r="I79" t="str">
        <f>IF(C79="","",(_xlfn.XLOOKUP(C79,'Loan Out'!A:A,'Loan Out'!H:H)))</f>
        <v/>
      </c>
      <c r="J79" t="str">
        <f>IF(C79="","",(_xlfn.XLOOKUP(C79,'Loan Out'!A:A,'Loan Out'!I:I)))</f>
        <v/>
      </c>
      <c r="K79" t="str">
        <f>IF(C79="","",(_xlfn.XLOOKUP(C79,'Loan Out'!A:A,'Loan Out'!J:J)))</f>
        <v/>
      </c>
      <c r="L79" t="str">
        <f>IF(C79&lt;&gt;"",(SUMIF(Payments!C:C,C79,Payments!G:G)),"")</f>
        <v/>
      </c>
      <c r="M79" t="str">
        <f t="shared" si="7"/>
        <v/>
      </c>
      <c r="N79" t="str">
        <f t="shared" si="8"/>
        <v/>
      </c>
      <c r="O79" t="str">
        <f t="shared" si="9"/>
        <v/>
      </c>
      <c r="P79" s="1" t="str">
        <f>IF(B79&lt;&gt;"",(IF((_xlfn.XLOOKUP(C79,'Loan Out'!A:A,'Loan Out'!L:L))="Bad debt","Bad debt",IF(M79&gt;0,"Pending","Settled"))),"")</f>
        <v/>
      </c>
    </row>
    <row r="80" spans="1:16">
      <c r="A80" t="str">
        <f t="shared" si="5"/>
        <v/>
      </c>
      <c r="C80" t="str">
        <f t="shared" si="6"/>
        <v/>
      </c>
      <c r="D80" t="str">
        <f>IF(C80="","",(_xlfn.XLOOKUP(C80,'Loan Out'!A:A,'Loan Out'!J:J)))</f>
        <v/>
      </c>
      <c r="E80" t="str">
        <f>IF(C80="","",(_xlfn.XLOOKUP(C80,'Loan Out'!A:A,'Loan Out'!D:D)))</f>
        <v/>
      </c>
      <c r="F80" t="str">
        <f>IF(C80="","",(_xlfn.XLOOKUP(C80,'Loan Out'!A:A,'Loan Out'!E:E)))</f>
        <v/>
      </c>
      <c r="G80" t="str">
        <f>IF(C80="","",(_xlfn.XLOOKUP(C80,'Loan Out'!A:A,'Loan Out'!F:F)))</f>
        <v/>
      </c>
      <c r="H80" t="str">
        <f>IF(C80="","",(_xlfn.XLOOKUP(C80,'Loan Out'!A:A,'Loan Out'!G:G)))</f>
        <v/>
      </c>
      <c r="I80" t="str">
        <f>IF(C80="","",(_xlfn.XLOOKUP(C80,'Loan Out'!A:A,'Loan Out'!H:H)))</f>
        <v/>
      </c>
      <c r="J80" t="str">
        <f>IF(C80="","",(_xlfn.XLOOKUP(C80,'Loan Out'!A:A,'Loan Out'!I:I)))</f>
        <v/>
      </c>
      <c r="K80" t="str">
        <f>IF(C80="","",(_xlfn.XLOOKUP(C80,'Loan Out'!A:A,'Loan Out'!J:J)))</f>
        <v/>
      </c>
      <c r="L80" t="str">
        <f>IF(C80&lt;&gt;"",(SUMIF(Payments!C:C,C80,Payments!G:G)),"")</f>
        <v/>
      </c>
      <c r="M80" t="str">
        <f t="shared" si="7"/>
        <v/>
      </c>
      <c r="N80" t="str">
        <f t="shared" si="8"/>
        <v/>
      </c>
      <c r="O80" t="str">
        <f t="shared" si="9"/>
        <v/>
      </c>
      <c r="P80" s="1" t="str">
        <f>IF(B80&lt;&gt;"",(IF((_xlfn.XLOOKUP(C80,'Loan Out'!A:A,'Loan Out'!L:L))="Bad debt","Bad debt",IF(M80&gt;0,"Pending","Settled"))),"")</f>
        <v/>
      </c>
    </row>
    <row r="81" spans="1:16">
      <c r="A81" t="str">
        <f t="shared" si="5"/>
        <v/>
      </c>
      <c r="C81" t="str">
        <f t="shared" si="6"/>
        <v/>
      </c>
      <c r="D81" t="str">
        <f>IF(C81="","",(_xlfn.XLOOKUP(C81,'Loan Out'!A:A,'Loan Out'!J:J)))</f>
        <v/>
      </c>
      <c r="E81" t="str">
        <f>IF(C81="","",(_xlfn.XLOOKUP(C81,'Loan Out'!A:A,'Loan Out'!D:D)))</f>
        <v/>
      </c>
      <c r="F81" t="str">
        <f>IF(C81="","",(_xlfn.XLOOKUP(C81,'Loan Out'!A:A,'Loan Out'!E:E)))</f>
        <v/>
      </c>
      <c r="G81" t="str">
        <f>IF(C81="","",(_xlfn.XLOOKUP(C81,'Loan Out'!A:A,'Loan Out'!F:F)))</f>
        <v/>
      </c>
      <c r="H81" t="str">
        <f>IF(C81="","",(_xlfn.XLOOKUP(C81,'Loan Out'!A:A,'Loan Out'!G:G)))</f>
        <v/>
      </c>
      <c r="I81" t="str">
        <f>IF(C81="","",(_xlfn.XLOOKUP(C81,'Loan Out'!A:A,'Loan Out'!H:H)))</f>
        <v/>
      </c>
      <c r="J81" t="str">
        <f>IF(C81="","",(_xlfn.XLOOKUP(C81,'Loan Out'!A:A,'Loan Out'!I:I)))</f>
        <v/>
      </c>
      <c r="K81" t="str">
        <f>IF(C81="","",(_xlfn.XLOOKUP(C81,'Loan Out'!A:A,'Loan Out'!J:J)))</f>
        <v/>
      </c>
      <c r="L81" t="str">
        <f>IF(C81&lt;&gt;"",(SUMIF(Payments!C:C,C81,Payments!G:G)),"")</f>
        <v/>
      </c>
      <c r="M81" t="str">
        <f t="shared" si="7"/>
        <v/>
      </c>
      <c r="N81" t="str">
        <f t="shared" si="8"/>
        <v/>
      </c>
      <c r="O81" t="str">
        <f t="shared" si="9"/>
        <v/>
      </c>
      <c r="P81" s="1" t="str">
        <f>IF(B81&lt;&gt;"",(IF((_xlfn.XLOOKUP(C81,'Loan Out'!A:A,'Loan Out'!L:L))="Bad debt","Bad debt",IF(M81&gt;0,"Pending","Settled"))),"")</f>
        <v/>
      </c>
    </row>
    <row r="82" spans="1:16">
      <c r="A82" t="str">
        <f t="shared" si="5"/>
        <v/>
      </c>
      <c r="C82" t="str">
        <f t="shared" si="6"/>
        <v/>
      </c>
      <c r="D82" t="str">
        <f>IF(C82="","",(_xlfn.XLOOKUP(C82,'Loan Out'!A:A,'Loan Out'!J:J)))</f>
        <v/>
      </c>
      <c r="E82" t="str">
        <f>IF(C82="","",(_xlfn.XLOOKUP(C82,'Loan Out'!A:A,'Loan Out'!D:D)))</f>
        <v/>
      </c>
      <c r="F82" t="str">
        <f>IF(C82="","",(_xlfn.XLOOKUP(C82,'Loan Out'!A:A,'Loan Out'!E:E)))</f>
        <v/>
      </c>
      <c r="G82" t="str">
        <f>IF(C82="","",(_xlfn.XLOOKUP(C82,'Loan Out'!A:A,'Loan Out'!F:F)))</f>
        <v/>
      </c>
      <c r="H82" t="str">
        <f>IF(C82="","",(_xlfn.XLOOKUP(C82,'Loan Out'!A:A,'Loan Out'!G:G)))</f>
        <v/>
      </c>
      <c r="I82" t="str">
        <f>IF(C82="","",(_xlfn.XLOOKUP(C82,'Loan Out'!A:A,'Loan Out'!H:H)))</f>
        <v/>
      </c>
      <c r="J82" t="str">
        <f>IF(C82="","",(_xlfn.XLOOKUP(C82,'Loan Out'!A:A,'Loan Out'!I:I)))</f>
        <v/>
      </c>
      <c r="K82" t="str">
        <f>IF(C82="","",(_xlfn.XLOOKUP(C82,'Loan Out'!A:A,'Loan Out'!J:J)))</f>
        <v/>
      </c>
      <c r="L82" t="str">
        <f>IF(C82&lt;&gt;"",(SUMIF(Payments!C:C,C82,Payments!G:G)),"")</f>
        <v/>
      </c>
      <c r="M82" t="str">
        <f t="shared" si="7"/>
        <v/>
      </c>
      <c r="N82" t="str">
        <f t="shared" si="8"/>
        <v/>
      </c>
      <c r="O82" t="str">
        <f t="shared" si="9"/>
        <v/>
      </c>
      <c r="P82" s="1" t="str">
        <f>IF(B82&lt;&gt;"",(IF((_xlfn.XLOOKUP(C82,'Loan Out'!A:A,'Loan Out'!L:L))="Bad debt","Bad debt",IF(M82&gt;0,"Pending","Settled"))),"")</f>
        <v/>
      </c>
    </row>
    <row r="83" spans="1:16">
      <c r="A83" t="str">
        <f t="shared" si="5"/>
        <v/>
      </c>
      <c r="C83" t="str">
        <f t="shared" si="6"/>
        <v/>
      </c>
      <c r="D83" t="str">
        <f>IF(C83="","",(_xlfn.XLOOKUP(C83,'Loan Out'!A:A,'Loan Out'!J:J)))</f>
        <v/>
      </c>
      <c r="E83" t="str">
        <f>IF(C83="","",(_xlfn.XLOOKUP(C83,'Loan Out'!A:A,'Loan Out'!D:D)))</f>
        <v/>
      </c>
      <c r="F83" t="str">
        <f>IF(C83="","",(_xlfn.XLOOKUP(C83,'Loan Out'!A:A,'Loan Out'!E:E)))</f>
        <v/>
      </c>
      <c r="G83" t="str">
        <f>IF(C83="","",(_xlfn.XLOOKUP(C83,'Loan Out'!A:A,'Loan Out'!F:F)))</f>
        <v/>
      </c>
      <c r="H83" t="str">
        <f>IF(C83="","",(_xlfn.XLOOKUP(C83,'Loan Out'!A:A,'Loan Out'!G:G)))</f>
        <v/>
      </c>
      <c r="I83" t="str">
        <f>IF(C83="","",(_xlfn.XLOOKUP(C83,'Loan Out'!A:A,'Loan Out'!H:H)))</f>
        <v/>
      </c>
      <c r="J83" t="str">
        <f>IF(C83="","",(_xlfn.XLOOKUP(C83,'Loan Out'!A:A,'Loan Out'!I:I)))</f>
        <v/>
      </c>
      <c r="K83" t="str">
        <f>IF(C83="","",(_xlfn.XLOOKUP(C83,'Loan Out'!A:A,'Loan Out'!J:J)))</f>
        <v/>
      </c>
      <c r="L83" t="str">
        <f>IF(C83&lt;&gt;"",(SUMIF(Payments!C:C,C83,Payments!G:G)),"")</f>
        <v/>
      </c>
      <c r="M83" t="str">
        <f t="shared" si="7"/>
        <v/>
      </c>
      <c r="N83" t="str">
        <f t="shared" si="8"/>
        <v/>
      </c>
      <c r="O83" t="str">
        <f t="shared" si="9"/>
        <v/>
      </c>
      <c r="P83" s="1" t="str">
        <f>IF(B83&lt;&gt;"",(IF((_xlfn.XLOOKUP(C83,'Loan Out'!A:A,'Loan Out'!L:L))="Bad debt","Bad debt",IF(M83&gt;0,"Pending","Settled"))),"")</f>
        <v/>
      </c>
    </row>
    <row r="84" spans="1:16">
      <c r="A84" t="str">
        <f t="shared" si="5"/>
        <v/>
      </c>
      <c r="C84" t="str">
        <f t="shared" si="6"/>
        <v/>
      </c>
      <c r="D84" t="str">
        <f>IF(C84="","",(_xlfn.XLOOKUP(C84,'Loan Out'!A:A,'Loan Out'!J:J)))</f>
        <v/>
      </c>
      <c r="E84" t="str">
        <f>IF(C84="","",(_xlfn.XLOOKUP(C84,'Loan Out'!A:A,'Loan Out'!D:D)))</f>
        <v/>
      </c>
      <c r="F84" t="str">
        <f>IF(C84="","",(_xlfn.XLOOKUP(C84,'Loan Out'!A:A,'Loan Out'!E:E)))</f>
        <v/>
      </c>
      <c r="G84" t="str">
        <f>IF(C84="","",(_xlfn.XLOOKUP(C84,'Loan Out'!A:A,'Loan Out'!F:F)))</f>
        <v/>
      </c>
      <c r="H84" t="str">
        <f>IF(C84="","",(_xlfn.XLOOKUP(C84,'Loan Out'!A:A,'Loan Out'!G:G)))</f>
        <v/>
      </c>
      <c r="I84" t="str">
        <f>IF(C84="","",(_xlfn.XLOOKUP(C84,'Loan Out'!A:A,'Loan Out'!H:H)))</f>
        <v/>
      </c>
      <c r="J84" t="str">
        <f>IF(C84="","",(_xlfn.XLOOKUP(C84,'Loan Out'!A:A,'Loan Out'!I:I)))</f>
        <v/>
      </c>
      <c r="K84" t="str">
        <f>IF(C84="","",(_xlfn.XLOOKUP(C84,'Loan Out'!A:A,'Loan Out'!J:J)))</f>
        <v/>
      </c>
      <c r="L84" t="str">
        <f>IF(C84&lt;&gt;"",(SUMIF(Payments!C:C,C84,Payments!G:G)),"")</f>
        <v/>
      </c>
      <c r="M84" t="str">
        <f t="shared" si="7"/>
        <v/>
      </c>
      <c r="N84" t="str">
        <f t="shared" si="8"/>
        <v/>
      </c>
      <c r="O84" t="str">
        <f t="shared" si="9"/>
        <v/>
      </c>
      <c r="P84" s="1" t="str">
        <f>IF(B84&lt;&gt;"",(IF((_xlfn.XLOOKUP(C84,'Loan Out'!A:A,'Loan Out'!L:L))="Bad debt","Bad debt",IF(M84&gt;0,"Pending","Settled"))),"")</f>
        <v/>
      </c>
    </row>
    <row r="85" spans="1:16">
      <c r="A85" t="str">
        <f t="shared" si="5"/>
        <v/>
      </c>
      <c r="C85" t="str">
        <f t="shared" si="6"/>
        <v/>
      </c>
      <c r="D85" t="str">
        <f>IF(C85="","",(_xlfn.XLOOKUP(C85,'Loan Out'!A:A,'Loan Out'!J:J)))</f>
        <v/>
      </c>
      <c r="E85" t="str">
        <f>IF(C85="","",(_xlfn.XLOOKUP(C85,'Loan Out'!A:A,'Loan Out'!D:D)))</f>
        <v/>
      </c>
      <c r="F85" t="str">
        <f>IF(C85="","",(_xlfn.XLOOKUP(C85,'Loan Out'!A:A,'Loan Out'!E:E)))</f>
        <v/>
      </c>
      <c r="G85" t="str">
        <f>IF(C85="","",(_xlfn.XLOOKUP(C85,'Loan Out'!A:A,'Loan Out'!F:F)))</f>
        <v/>
      </c>
      <c r="H85" t="str">
        <f>IF(C85="","",(_xlfn.XLOOKUP(C85,'Loan Out'!A:A,'Loan Out'!G:G)))</f>
        <v/>
      </c>
      <c r="I85" t="str">
        <f>IF(C85="","",(_xlfn.XLOOKUP(C85,'Loan Out'!A:A,'Loan Out'!H:H)))</f>
        <v/>
      </c>
      <c r="J85" t="str">
        <f>IF(C85="","",(_xlfn.XLOOKUP(C85,'Loan Out'!A:A,'Loan Out'!I:I)))</f>
        <v/>
      </c>
      <c r="K85" t="str">
        <f>IF(C85="","",(_xlfn.XLOOKUP(C85,'Loan Out'!A:A,'Loan Out'!J:J)))</f>
        <v/>
      </c>
      <c r="L85" t="str">
        <f>IF(C85&lt;&gt;"",(SUMIF(Payments!C:C,C85,Payments!G:G)),"")</f>
        <v/>
      </c>
      <c r="M85" t="str">
        <f t="shared" si="7"/>
        <v/>
      </c>
      <c r="N85" t="str">
        <f t="shared" si="8"/>
        <v/>
      </c>
      <c r="O85" t="str">
        <f t="shared" si="9"/>
        <v/>
      </c>
      <c r="P85" s="1" t="str">
        <f>IF(B85&lt;&gt;"",(IF((_xlfn.XLOOKUP(C85,'Loan Out'!A:A,'Loan Out'!L:L))="Bad debt","Bad debt",IF(M85&gt;0,"Pending","Settled"))),"")</f>
        <v/>
      </c>
    </row>
    <row r="86" spans="1:16">
      <c r="A86" t="str">
        <f t="shared" si="5"/>
        <v/>
      </c>
      <c r="C86" t="str">
        <f t="shared" si="6"/>
        <v/>
      </c>
      <c r="D86" t="str">
        <f>IF(C86="","",(_xlfn.XLOOKUP(C86,'Loan Out'!A:A,'Loan Out'!J:J)))</f>
        <v/>
      </c>
      <c r="E86" t="str">
        <f>IF(C86="","",(_xlfn.XLOOKUP(C86,'Loan Out'!A:A,'Loan Out'!D:D)))</f>
        <v/>
      </c>
      <c r="F86" t="str">
        <f>IF(C86="","",(_xlfn.XLOOKUP(C86,'Loan Out'!A:A,'Loan Out'!E:E)))</f>
        <v/>
      </c>
      <c r="G86" t="str">
        <f>IF(C86="","",(_xlfn.XLOOKUP(C86,'Loan Out'!A:A,'Loan Out'!F:F)))</f>
        <v/>
      </c>
      <c r="H86" t="str">
        <f>IF(C86="","",(_xlfn.XLOOKUP(C86,'Loan Out'!A:A,'Loan Out'!G:G)))</f>
        <v/>
      </c>
      <c r="I86" t="str">
        <f>IF(C86="","",(_xlfn.XLOOKUP(C86,'Loan Out'!A:A,'Loan Out'!H:H)))</f>
        <v/>
      </c>
      <c r="J86" t="str">
        <f>IF(C86="","",(_xlfn.XLOOKUP(C86,'Loan Out'!A:A,'Loan Out'!I:I)))</f>
        <v/>
      </c>
      <c r="K86" t="str">
        <f>IF(C86="","",(_xlfn.XLOOKUP(C86,'Loan Out'!A:A,'Loan Out'!J:J)))</f>
        <v/>
      </c>
      <c r="L86" t="str">
        <f>IF(C86&lt;&gt;"",(SUMIF(Payments!C:C,C86,Payments!G:G)),"")</f>
        <v/>
      </c>
      <c r="M86" t="str">
        <f t="shared" si="7"/>
        <v/>
      </c>
      <c r="N86" t="str">
        <f t="shared" si="8"/>
        <v/>
      </c>
      <c r="O86" t="str">
        <f t="shared" si="9"/>
        <v/>
      </c>
      <c r="P86" s="1" t="str">
        <f>IF(B86&lt;&gt;"",(IF((_xlfn.XLOOKUP(C86,'Loan Out'!A:A,'Loan Out'!L:L))="Bad debt","Bad debt",IF(M86&gt;0,"Pending","Settled"))),"")</f>
        <v/>
      </c>
    </row>
    <row r="87" spans="1:16">
      <c r="A87" t="str">
        <f t="shared" si="5"/>
        <v/>
      </c>
      <c r="C87" t="str">
        <f t="shared" si="6"/>
        <v/>
      </c>
      <c r="D87" t="str">
        <f>IF(C87="","",(_xlfn.XLOOKUP(C87,'Loan Out'!A:A,'Loan Out'!J:J)))</f>
        <v/>
      </c>
      <c r="E87" t="str">
        <f>IF(C87="","",(_xlfn.XLOOKUP(C87,'Loan Out'!A:A,'Loan Out'!D:D)))</f>
        <v/>
      </c>
      <c r="F87" t="str">
        <f>IF(C87="","",(_xlfn.XLOOKUP(C87,'Loan Out'!A:A,'Loan Out'!E:E)))</f>
        <v/>
      </c>
      <c r="G87" t="str">
        <f>IF(C87="","",(_xlfn.XLOOKUP(C87,'Loan Out'!A:A,'Loan Out'!F:F)))</f>
        <v/>
      </c>
      <c r="H87" t="str">
        <f>IF(C87="","",(_xlfn.XLOOKUP(C87,'Loan Out'!A:A,'Loan Out'!G:G)))</f>
        <v/>
      </c>
      <c r="I87" t="str">
        <f>IF(C87="","",(_xlfn.XLOOKUP(C87,'Loan Out'!A:A,'Loan Out'!H:H)))</f>
        <v/>
      </c>
      <c r="J87" t="str">
        <f>IF(C87="","",(_xlfn.XLOOKUP(C87,'Loan Out'!A:A,'Loan Out'!I:I)))</f>
        <v/>
      </c>
      <c r="K87" t="str">
        <f>IF(C87="","",(_xlfn.XLOOKUP(C87,'Loan Out'!A:A,'Loan Out'!J:J)))</f>
        <v/>
      </c>
      <c r="L87" t="str">
        <f>IF(C87&lt;&gt;"",(SUMIF(Payments!C:C,C87,Payments!G:G)),"")</f>
        <v/>
      </c>
      <c r="M87" t="str">
        <f t="shared" si="7"/>
        <v/>
      </c>
      <c r="N87" t="str">
        <f t="shared" si="8"/>
        <v/>
      </c>
      <c r="O87" t="str">
        <f t="shared" si="9"/>
        <v/>
      </c>
      <c r="P87" s="1" t="str">
        <f>IF(B87&lt;&gt;"",(IF((_xlfn.XLOOKUP(C87,'Loan Out'!A:A,'Loan Out'!L:L))="Bad debt","Bad debt",IF(M87&gt;0,"Pending","Settled"))),"")</f>
        <v/>
      </c>
    </row>
    <row r="88" spans="1:16">
      <c r="A88" t="str">
        <f t="shared" si="5"/>
        <v/>
      </c>
      <c r="C88" t="str">
        <f t="shared" si="6"/>
        <v/>
      </c>
      <c r="D88" t="str">
        <f>IF(C88="","",(_xlfn.XLOOKUP(C88,'Loan Out'!A:A,'Loan Out'!J:J)))</f>
        <v/>
      </c>
      <c r="E88" t="str">
        <f>IF(C88="","",(_xlfn.XLOOKUP(C88,'Loan Out'!A:A,'Loan Out'!D:D)))</f>
        <v/>
      </c>
      <c r="F88" t="str">
        <f>IF(C88="","",(_xlfn.XLOOKUP(C88,'Loan Out'!A:A,'Loan Out'!E:E)))</f>
        <v/>
      </c>
      <c r="G88" t="str">
        <f>IF(C88="","",(_xlfn.XLOOKUP(C88,'Loan Out'!A:A,'Loan Out'!F:F)))</f>
        <v/>
      </c>
      <c r="H88" t="str">
        <f>IF(C88="","",(_xlfn.XLOOKUP(C88,'Loan Out'!A:A,'Loan Out'!G:G)))</f>
        <v/>
      </c>
      <c r="I88" t="str">
        <f>IF(C88="","",(_xlfn.XLOOKUP(C88,'Loan Out'!A:A,'Loan Out'!H:H)))</f>
        <v/>
      </c>
      <c r="J88" t="str">
        <f>IF(C88="","",(_xlfn.XLOOKUP(C88,'Loan Out'!A:A,'Loan Out'!I:I)))</f>
        <v/>
      </c>
      <c r="K88" t="str">
        <f>IF(C88="","",(_xlfn.XLOOKUP(C88,'Loan Out'!A:A,'Loan Out'!J:J)))</f>
        <v/>
      </c>
      <c r="L88" t="str">
        <f>IF(C88&lt;&gt;"",(SUMIF(Payments!C:C,C88,Payments!G:G)),"")</f>
        <v/>
      </c>
      <c r="M88" t="str">
        <f t="shared" si="7"/>
        <v/>
      </c>
      <c r="N88" t="str">
        <f t="shared" si="8"/>
        <v/>
      </c>
      <c r="O88" t="str">
        <f t="shared" si="9"/>
        <v/>
      </c>
      <c r="P88" s="1" t="str">
        <f>IF(B88&lt;&gt;"",(IF((_xlfn.XLOOKUP(C88,'Loan Out'!A:A,'Loan Out'!L:L))="Bad debt","Bad debt",IF(M88&gt;0,"Pending","Settled"))),"")</f>
        <v/>
      </c>
    </row>
    <row r="89" spans="1:16">
      <c r="A89" t="str">
        <f t="shared" si="5"/>
        <v/>
      </c>
      <c r="C89" t="str">
        <f t="shared" si="6"/>
        <v/>
      </c>
      <c r="D89" t="str">
        <f>IF(C89="","",(_xlfn.XLOOKUP(C89,'Loan Out'!A:A,'Loan Out'!J:J)))</f>
        <v/>
      </c>
      <c r="E89" t="str">
        <f>IF(C89="","",(_xlfn.XLOOKUP(C89,'Loan Out'!A:A,'Loan Out'!D:D)))</f>
        <v/>
      </c>
      <c r="F89" t="str">
        <f>IF(C89="","",(_xlfn.XLOOKUP(C89,'Loan Out'!A:A,'Loan Out'!E:E)))</f>
        <v/>
      </c>
      <c r="G89" t="str">
        <f>IF(C89="","",(_xlfn.XLOOKUP(C89,'Loan Out'!A:A,'Loan Out'!F:F)))</f>
        <v/>
      </c>
      <c r="H89" t="str">
        <f>IF(C89="","",(_xlfn.XLOOKUP(C89,'Loan Out'!A:A,'Loan Out'!G:G)))</f>
        <v/>
      </c>
      <c r="I89" t="str">
        <f>IF(C89="","",(_xlfn.XLOOKUP(C89,'Loan Out'!A:A,'Loan Out'!H:H)))</f>
        <v/>
      </c>
      <c r="J89" t="str">
        <f>IF(C89="","",(_xlfn.XLOOKUP(C89,'Loan Out'!A:A,'Loan Out'!I:I)))</f>
        <v/>
      </c>
      <c r="K89" t="str">
        <f>IF(C89="","",(_xlfn.XLOOKUP(C89,'Loan Out'!A:A,'Loan Out'!J:J)))</f>
        <v/>
      </c>
      <c r="L89" t="str">
        <f>IF(C89&lt;&gt;"",(SUMIF(Payments!C:C,C89,Payments!G:G)),"")</f>
        <v/>
      </c>
      <c r="M89" t="str">
        <f t="shared" si="7"/>
        <v/>
      </c>
      <c r="N89" t="str">
        <f t="shared" si="8"/>
        <v/>
      </c>
      <c r="O89" t="str">
        <f t="shared" si="9"/>
        <v/>
      </c>
      <c r="P89" s="1" t="str">
        <f>IF(B89&lt;&gt;"",(IF((_xlfn.XLOOKUP(C89,'Loan Out'!A:A,'Loan Out'!L:L))="Bad debt","Bad debt",IF(M89&gt;0,"Pending","Settled"))),"")</f>
        <v/>
      </c>
    </row>
    <row r="90" spans="1:16">
      <c r="A90" t="str">
        <f t="shared" si="5"/>
        <v/>
      </c>
      <c r="C90" t="str">
        <f t="shared" si="6"/>
        <v/>
      </c>
      <c r="D90" t="str">
        <f>IF(C90="","",(_xlfn.XLOOKUP(C90,'Loan Out'!A:A,'Loan Out'!J:J)))</f>
        <v/>
      </c>
      <c r="E90" t="str">
        <f>IF(C90="","",(_xlfn.XLOOKUP(C90,'Loan Out'!A:A,'Loan Out'!D:D)))</f>
        <v/>
      </c>
      <c r="F90" t="str">
        <f>IF(C90="","",(_xlfn.XLOOKUP(C90,'Loan Out'!A:A,'Loan Out'!E:E)))</f>
        <v/>
      </c>
      <c r="G90" t="str">
        <f>IF(C90="","",(_xlfn.XLOOKUP(C90,'Loan Out'!A:A,'Loan Out'!F:F)))</f>
        <v/>
      </c>
      <c r="H90" t="str">
        <f>IF(C90="","",(_xlfn.XLOOKUP(C90,'Loan Out'!A:A,'Loan Out'!G:G)))</f>
        <v/>
      </c>
      <c r="I90" t="str">
        <f>IF(C90="","",(_xlfn.XLOOKUP(C90,'Loan Out'!A:A,'Loan Out'!H:H)))</f>
        <v/>
      </c>
      <c r="J90" t="str">
        <f>IF(C90="","",(_xlfn.XLOOKUP(C90,'Loan Out'!A:A,'Loan Out'!I:I)))</f>
        <v/>
      </c>
      <c r="K90" t="str">
        <f>IF(C90="","",(_xlfn.XLOOKUP(C90,'Loan Out'!A:A,'Loan Out'!J:J)))</f>
        <v/>
      </c>
      <c r="L90" t="str">
        <f>IF(C90&lt;&gt;"",(SUMIF(Payments!C:C,C90,Payments!G:G)),"")</f>
        <v/>
      </c>
      <c r="M90" t="str">
        <f t="shared" si="7"/>
        <v/>
      </c>
      <c r="N90" t="str">
        <f t="shared" si="8"/>
        <v/>
      </c>
      <c r="O90" t="str">
        <f t="shared" si="9"/>
        <v/>
      </c>
      <c r="P90" s="1" t="str">
        <f>IF(B90&lt;&gt;"",(IF((_xlfn.XLOOKUP(C90,'Loan Out'!A:A,'Loan Out'!L:L))="Bad debt","Bad debt",IF(M90&gt;0,"Pending","Settled"))),"")</f>
        <v/>
      </c>
    </row>
    <row r="91" spans="1:16">
      <c r="A91" t="str">
        <f t="shared" si="5"/>
        <v/>
      </c>
      <c r="C91" t="str">
        <f t="shared" si="6"/>
        <v/>
      </c>
      <c r="D91" t="str">
        <f>IF(C91="","",(_xlfn.XLOOKUP(C91,'Loan Out'!A:A,'Loan Out'!J:J)))</f>
        <v/>
      </c>
      <c r="E91" t="str">
        <f>IF(C91="","",(_xlfn.XLOOKUP(C91,'Loan Out'!A:A,'Loan Out'!D:D)))</f>
        <v/>
      </c>
      <c r="F91" t="str">
        <f>IF(C91="","",(_xlfn.XLOOKUP(C91,'Loan Out'!A:A,'Loan Out'!E:E)))</f>
        <v/>
      </c>
      <c r="G91" t="str">
        <f>IF(C91="","",(_xlfn.XLOOKUP(C91,'Loan Out'!A:A,'Loan Out'!F:F)))</f>
        <v/>
      </c>
      <c r="H91" t="str">
        <f>IF(C91="","",(_xlfn.XLOOKUP(C91,'Loan Out'!A:A,'Loan Out'!G:G)))</f>
        <v/>
      </c>
      <c r="I91" t="str">
        <f>IF(C91="","",(_xlfn.XLOOKUP(C91,'Loan Out'!A:A,'Loan Out'!H:H)))</f>
        <v/>
      </c>
      <c r="J91" t="str">
        <f>IF(C91="","",(_xlfn.XLOOKUP(C91,'Loan Out'!A:A,'Loan Out'!I:I)))</f>
        <v/>
      </c>
      <c r="K91" t="str">
        <f>IF(C91="","",(_xlfn.XLOOKUP(C91,'Loan Out'!A:A,'Loan Out'!J:J)))</f>
        <v/>
      </c>
      <c r="L91" t="str">
        <f>IF(C91&lt;&gt;"",(SUMIF(Payments!C:C,C91,Payments!G:G)),"")</f>
        <v/>
      </c>
      <c r="M91" t="str">
        <f t="shared" si="7"/>
        <v/>
      </c>
      <c r="N91" t="str">
        <f t="shared" si="8"/>
        <v/>
      </c>
      <c r="O91" t="str">
        <f t="shared" si="9"/>
        <v/>
      </c>
      <c r="P91" s="1" t="str">
        <f>IF(B91&lt;&gt;"",(IF((_xlfn.XLOOKUP(C91,'Loan Out'!A:A,'Loan Out'!L:L))="Bad debt","Bad debt",IF(M91&gt;0,"Pending","Settled"))),"")</f>
        <v/>
      </c>
    </row>
    <row r="92" spans="1:16">
      <c r="A92" t="str">
        <f t="shared" si="5"/>
        <v/>
      </c>
      <c r="C92" t="str">
        <f t="shared" si="6"/>
        <v/>
      </c>
      <c r="D92" t="str">
        <f>IF(C92="","",(_xlfn.XLOOKUP(C92,'Loan Out'!A:A,'Loan Out'!J:J)))</f>
        <v/>
      </c>
      <c r="E92" t="str">
        <f>IF(C92="","",(_xlfn.XLOOKUP(C92,'Loan Out'!A:A,'Loan Out'!D:D)))</f>
        <v/>
      </c>
      <c r="F92" t="str">
        <f>IF(C92="","",(_xlfn.XLOOKUP(C92,'Loan Out'!A:A,'Loan Out'!E:E)))</f>
        <v/>
      </c>
      <c r="G92" t="str">
        <f>IF(C92="","",(_xlfn.XLOOKUP(C92,'Loan Out'!A:A,'Loan Out'!F:F)))</f>
        <v/>
      </c>
      <c r="H92" t="str">
        <f>IF(C92="","",(_xlfn.XLOOKUP(C92,'Loan Out'!A:A,'Loan Out'!G:G)))</f>
        <v/>
      </c>
      <c r="I92" t="str">
        <f>IF(C92="","",(_xlfn.XLOOKUP(C92,'Loan Out'!A:A,'Loan Out'!H:H)))</f>
        <v/>
      </c>
      <c r="J92" t="str">
        <f>IF(C92="","",(_xlfn.XLOOKUP(C92,'Loan Out'!A:A,'Loan Out'!I:I)))</f>
        <v/>
      </c>
      <c r="K92" t="str">
        <f>IF(C92="","",(_xlfn.XLOOKUP(C92,'Loan Out'!A:A,'Loan Out'!J:J)))</f>
        <v/>
      </c>
      <c r="L92" t="str">
        <f>IF(C92&lt;&gt;"",(SUMIF(Payments!C:C,C92,Payments!G:G)),"")</f>
        <v/>
      </c>
      <c r="M92" t="str">
        <f t="shared" si="7"/>
        <v/>
      </c>
      <c r="N92" t="str">
        <f t="shared" si="8"/>
        <v/>
      </c>
      <c r="O92" t="str">
        <f t="shared" si="9"/>
        <v/>
      </c>
      <c r="P92" s="1" t="str">
        <f>IF(B92&lt;&gt;"",(IF((_xlfn.XLOOKUP(C92,'Loan Out'!A:A,'Loan Out'!L:L))="Bad debt","Bad debt",IF(M92&gt;0,"Pending","Settled"))),"")</f>
        <v/>
      </c>
    </row>
    <row r="93" spans="1:16">
      <c r="A93" t="str">
        <f t="shared" si="5"/>
        <v/>
      </c>
      <c r="C93" t="str">
        <f t="shared" si="6"/>
        <v/>
      </c>
      <c r="D93" t="str">
        <f>IF(C93="","",(_xlfn.XLOOKUP(C93,'Loan Out'!A:A,'Loan Out'!J:J)))</f>
        <v/>
      </c>
      <c r="E93" t="str">
        <f>IF(C93="","",(_xlfn.XLOOKUP(C93,'Loan Out'!A:A,'Loan Out'!D:D)))</f>
        <v/>
      </c>
      <c r="F93" t="str">
        <f>IF(C93="","",(_xlfn.XLOOKUP(C93,'Loan Out'!A:A,'Loan Out'!E:E)))</f>
        <v/>
      </c>
      <c r="G93" t="str">
        <f>IF(C93="","",(_xlfn.XLOOKUP(C93,'Loan Out'!A:A,'Loan Out'!F:F)))</f>
        <v/>
      </c>
      <c r="H93" t="str">
        <f>IF(C93="","",(_xlfn.XLOOKUP(C93,'Loan Out'!A:A,'Loan Out'!G:G)))</f>
        <v/>
      </c>
      <c r="I93" t="str">
        <f>IF(C93="","",(_xlfn.XLOOKUP(C93,'Loan Out'!A:A,'Loan Out'!H:H)))</f>
        <v/>
      </c>
      <c r="J93" t="str">
        <f>IF(C93="","",(_xlfn.XLOOKUP(C93,'Loan Out'!A:A,'Loan Out'!I:I)))</f>
        <v/>
      </c>
      <c r="K93" t="str">
        <f>IF(C93="","",(_xlfn.XLOOKUP(C93,'Loan Out'!A:A,'Loan Out'!J:J)))</f>
        <v/>
      </c>
      <c r="L93" t="str">
        <f>IF(C93&lt;&gt;"",(SUMIF(Payments!C:C,C93,Payments!G:G)),"")</f>
        <v/>
      </c>
      <c r="M93" t="str">
        <f t="shared" si="7"/>
        <v/>
      </c>
      <c r="N93" t="str">
        <f t="shared" si="8"/>
        <v/>
      </c>
      <c r="O93" t="str">
        <f t="shared" si="9"/>
        <v/>
      </c>
      <c r="P93" s="1" t="str">
        <f>IF(B93&lt;&gt;"",(IF((_xlfn.XLOOKUP(C93,'Loan Out'!A:A,'Loan Out'!L:L))="Bad debt","Bad debt",IF(M93&gt;0,"Pending","Settled"))),"")</f>
        <v/>
      </c>
    </row>
    <row r="94" spans="1:16">
      <c r="A94" t="str">
        <f t="shared" si="5"/>
        <v/>
      </c>
      <c r="C94" t="str">
        <f t="shared" si="6"/>
        <v/>
      </c>
      <c r="D94" t="str">
        <f>IF(C94="","",(_xlfn.XLOOKUP(C94,'Loan Out'!A:A,'Loan Out'!J:J)))</f>
        <v/>
      </c>
      <c r="E94" t="str">
        <f>IF(C94="","",(_xlfn.XLOOKUP(C94,'Loan Out'!A:A,'Loan Out'!D:D)))</f>
        <v/>
      </c>
      <c r="F94" t="str">
        <f>IF(C94="","",(_xlfn.XLOOKUP(C94,'Loan Out'!A:A,'Loan Out'!E:E)))</f>
        <v/>
      </c>
      <c r="G94" t="str">
        <f>IF(C94="","",(_xlfn.XLOOKUP(C94,'Loan Out'!A:A,'Loan Out'!F:F)))</f>
        <v/>
      </c>
      <c r="H94" t="str">
        <f>IF(C94="","",(_xlfn.XLOOKUP(C94,'Loan Out'!A:A,'Loan Out'!G:G)))</f>
        <v/>
      </c>
      <c r="I94" t="str">
        <f>IF(C94="","",(_xlfn.XLOOKUP(C94,'Loan Out'!A:A,'Loan Out'!H:H)))</f>
        <v/>
      </c>
      <c r="J94" t="str">
        <f>IF(C94="","",(_xlfn.XLOOKUP(C94,'Loan Out'!A:A,'Loan Out'!I:I)))</f>
        <v/>
      </c>
      <c r="K94" t="str">
        <f>IF(C94="","",(_xlfn.XLOOKUP(C94,'Loan Out'!A:A,'Loan Out'!J:J)))</f>
        <v/>
      </c>
      <c r="L94" t="str">
        <f>IF(C94&lt;&gt;"",(SUMIF(Payments!C:C,C94,Payments!G:G)),"")</f>
        <v/>
      </c>
      <c r="M94" t="str">
        <f t="shared" si="7"/>
        <v/>
      </c>
      <c r="N94" t="str">
        <f t="shared" si="8"/>
        <v/>
      </c>
      <c r="O94" t="str">
        <f t="shared" si="9"/>
        <v/>
      </c>
      <c r="P94" s="1" t="str">
        <f>IF(B94&lt;&gt;"",(IF((_xlfn.XLOOKUP(C94,'Loan Out'!A:A,'Loan Out'!L:L))="Bad debt","Bad debt",IF(M94&gt;0,"Pending","Settled"))),"")</f>
        <v/>
      </c>
    </row>
    <row r="95" spans="1:16">
      <c r="A95" t="str">
        <f t="shared" si="5"/>
        <v/>
      </c>
      <c r="C95" t="str">
        <f t="shared" si="6"/>
        <v/>
      </c>
      <c r="D95" t="str">
        <f>IF(C95="","",(_xlfn.XLOOKUP(C95,'Loan Out'!A:A,'Loan Out'!J:J)))</f>
        <v/>
      </c>
      <c r="E95" t="str">
        <f>IF(C95="","",(_xlfn.XLOOKUP(C95,'Loan Out'!A:A,'Loan Out'!D:D)))</f>
        <v/>
      </c>
      <c r="F95" t="str">
        <f>IF(C95="","",(_xlfn.XLOOKUP(C95,'Loan Out'!A:A,'Loan Out'!E:E)))</f>
        <v/>
      </c>
      <c r="G95" t="str">
        <f>IF(C95="","",(_xlfn.XLOOKUP(C95,'Loan Out'!A:A,'Loan Out'!F:F)))</f>
        <v/>
      </c>
      <c r="H95" t="str">
        <f>IF(C95="","",(_xlfn.XLOOKUP(C95,'Loan Out'!A:A,'Loan Out'!G:G)))</f>
        <v/>
      </c>
      <c r="I95" t="str">
        <f>IF(C95="","",(_xlfn.XLOOKUP(C95,'Loan Out'!A:A,'Loan Out'!H:H)))</f>
        <v/>
      </c>
      <c r="J95" t="str">
        <f>IF(C95="","",(_xlfn.XLOOKUP(C95,'Loan Out'!A:A,'Loan Out'!I:I)))</f>
        <v/>
      </c>
      <c r="K95" t="str">
        <f>IF(C95="","",(_xlfn.XLOOKUP(C95,'Loan Out'!A:A,'Loan Out'!J:J)))</f>
        <v/>
      </c>
      <c r="L95" t="str">
        <f>IF(C95&lt;&gt;"",(SUMIF(Payments!C:C,C95,Payments!G:G)),"")</f>
        <v/>
      </c>
      <c r="M95" t="str">
        <f t="shared" si="7"/>
        <v/>
      </c>
      <c r="N95" t="str">
        <f t="shared" si="8"/>
        <v/>
      </c>
      <c r="O95" t="str">
        <f t="shared" si="9"/>
        <v/>
      </c>
      <c r="P95" s="1" t="str">
        <f>IF(B95&lt;&gt;"",(IF((_xlfn.XLOOKUP(C95,'Loan Out'!A:A,'Loan Out'!L:L))="Bad debt","Bad debt",IF(M95&gt;0,"Pending","Settled"))),"")</f>
        <v/>
      </c>
    </row>
    <row r="96" spans="1:16">
      <c r="A96" t="str">
        <f t="shared" si="5"/>
        <v/>
      </c>
      <c r="C96" t="str">
        <f t="shared" si="6"/>
        <v/>
      </c>
      <c r="D96" t="str">
        <f>IF(C96="","",(_xlfn.XLOOKUP(C96,'Loan Out'!A:A,'Loan Out'!J:J)))</f>
        <v/>
      </c>
      <c r="E96" t="str">
        <f>IF(C96="","",(_xlfn.XLOOKUP(C96,'Loan Out'!A:A,'Loan Out'!D:D)))</f>
        <v/>
      </c>
      <c r="F96" t="str">
        <f>IF(C96="","",(_xlfn.XLOOKUP(C96,'Loan Out'!A:A,'Loan Out'!E:E)))</f>
        <v/>
      </c>
      <c r="G96" t="str">
        <f>IF(C96="","",(_xlfn.XLOOKUP(C96,'Loan Out'!A:A,'Loan Out'!F:F)))</f>
        <v/>
      </c>
      <c r="H96" t="str">
        <f>IF(C96="","",(_xlfn.XLOOKUP(C96,'Loan Out'!A:A,'Loan Out'!G:G)))</f>
        <v/>
      </c>
      <c r="I96" t="str">
        <f>IF(C96="","",(_xlfn.XLOOKUP(C96,'Loan Out'!A:A,'Loan Out'!H:H)))</f>
        <v/>
      </c>
      <c r="J96" t="str">
        <f>IF(C96="","",(_xlfn.XLOOKUP(C96,'Loan Out'!A:A,'Loan Out'!I:I)))</f>
        <v/>
      </c>
      <c r="K96" t="str">
        <f>IF(C96="","",(_xlfn.XLOOKUP(C96,'Loan Out'!A:A,'Loan Out'!J:J)))</f>
        <v/>
      </c>
      <c r="L96" t="str">
        <f>IF(C96&lt;&gt;"",(SUMIF(Payments!C:C,C96,Payments!G:G)),"")</f>
        <v/>
      </c>
      <c r="M96" t="str">
        <f t="shared" si="7"/>
        <v/>
      </c>
      <c r="N96" t="str">
        <f t="shared" si="8"/>
        <v/>
      </c>
      <c r="O96" t="str">
        <f t="shared" si="9"/>
        <v/>
      </c>
      <c r="P96" s="1" t="str">
        <f>IF(B96&lt;&gt;"",(IF((_xlfn.XLOOKUP(C96,'Loan Out'!A:A,'Loan Out'!L:L))="Bad debt","Bad debt",IF(M96&gt;0,"Pending","Settled"))),"")</f>
        <v/>
      </c>
    </row>
    <row r="97" spans="1:16">
      <c r="A97" t="str">
        <f t="shared" si="5"/>
        <v/>
      </c>
      <c r="C97" t="str">
        <f t="shared" si="6"/>
        <v/>
      </c>
      <c r="D97" t="str">
        <f>IF(C97="","",(_xlfn.XLOOKUP(C97,'Loan Out'!A:A,'Loan Out'!J:J)))</f>
        <v/>
      </c>
      <c r="E97" t="str">
        <f>IF(C97="","",(_xlfn.XLOOKUP(C97,'Loan Out'!A:A,'Loan Out'!D:D)))</f>
        <v/>
      </c>
      <c r="F97" t="str">
        <f>IF(C97="","",(_xlfn.XLOOKUP(C97,'Loan Out'!A:A,'Loan Out'!E:E)))</f>
        <v/>
      </c>
      <c r="G97" t="str">
        <f>IF(C97="","",(_xlfn.XLOOKUP(C97,'Loan Out'!A:A,'Loan Out'!F:F)))</f>
        <v/>
      </c>
      <c r="H97" t="str">
        <f>IF(C97="","",(_xlfn.XLOOKUP(C97,'Loan Out'!A:A,'Loan Out'!G:G)))</f>
        <v/>
      </c>
      <c r="I97" t="str">
        <f>IF(C97="","",(_xlfn.XLOOKUP(C97,'Loan Out'!A:A,'Loan Out'!H:H)))</f>
        <v/>
      </c>
      <c r="J97" t="str">
        <f>IF(C97="","",(_xlfn.XLOOKUP(C97,'Loan Out'!A:A,'Loan Out'!I:I)))</f>
        <v/>
      </c>
      <c r="K97" t="str">
        <f>IF(C97="","",(_xlfn.XLOOKUP(C97,'Loan Out'!A:A,'Loan Out'!J:J)))</f>
        <v/>
      </c>
      <c r="L97" t="str">
        <f>IF(C97&lt;&gt;"",(SUMIF(Payments!C:C,C97,Payments!G:G)),"")</f>
        <v/>
      </c>
      <c r="M97" t="str">
        <f t="shared" si="7"/>
        <v/>
      </c>
      <c r="N97" t="str">
        <f t="shared" si="8"/>
        <v/>
      </c>
      <c r="O97" t="str">
        <f t="shared" si="9"/>
        <v/>
      </c>
      <c r="P97" s="1" t="str">
        <f>IF(B97&lt;&gt;"",(IF((_xlfn.XLOOKUP(C97,'Loan Out'!A:A,'Loan Out'!L:L))="Bad debt","Bad debt",IF(M97&gt;0,"Pending","Settled"))),"")</f>
        <v/>
      </c>
    </row>
    <row r="98" spans="1:16">
      <c r="A98" t="str">
        <f t="shared" si="5"/>
        <v/>
      </c>
      <c r="C98" t="str">
        <f t="shared" si="6"/>
        <v/>
      </c>
      <c r="D98" t="str">
        <f>IF(C98="","",(_xlfn.XLOOKUP(C98,'Loan Out'!A:A,'Loan Out'!J:J)))</f>
        <v/>
      </c>
      <c r="E98" t="str">
        <f>IF(C98="","",(_xlfn.XLOOKUP(C98,'Loan Out'!A:A,'Loan Out'!D:D)))</f>
        <v/>
      </c>
      <c r="F98" t="str">
        <f>IF(C98="","",(_xlfn.XLOOKUP(C98,'Loan Out'!A:A,'Loan Out'!E:E)))</f>
        <v/>
      </c>
      <c r="G98" t="str">
        <f>IF(C98="","",(_xlfn.XLOOKUP(C98,'Loan Out'!A:A,'Loan Out'!F:F)))</f>
        <v/>
      </c>
      <c r="H98" t="str">
        <f>IF(C98="","",(_xlfn.XLOOKUP(C98,'Loan Out'!A:A,'Loan Out'!G:G)))</f>
        <v/>
      </c>
      <c r="I98" t="str">
        <f>IF(C98="","",(_xlfn.XLOOKUP(C98,'Loan Out'!A:A,'Loan Out'!H:H)))</f>
        <v/>
      </c>
      <c r="J98" t="str">
        <f>IF(C98="","",(_xlfn.XLOOKUP(C98,'Loan Out'!A:A,'Loan Out'!I:I)))</f>
        <v/>
      </c>
      <c r="K98" t="str">
        <f>IF(C98="","",(_xlfn.XLOOKUP(C98,'Loan Out'!A:A,'Loan Out'!J:J)))</f>
        <v/>
      </c>
      <c r="L98" t="str">
        <f>IF(C98&lt;&gt;"",(SUMIF(Payments!C:C,C98,Payments!G:G)),"")</f>
        <v/>
      </c>
      <c r="M98" t="str">
        <f t="shared" si="7"/>
        <v/>
      </c>
      <c r="N98" t="str">
        <f t="shared" si="8"/>
        <v/>
      </c>
      <c r="O98" t="str">
        <f t="shared" si="9"/>
        <v/>
      </c>
      <c r="P98" s="1" t="str">
        <f>IF(B98&lt;&gt;"",(IF((_xlfn.XLOOKUP(C98,'Loan Out'!A:A,'Loan Out'!L:L))="Bad debt","Bad debt",IF(M98&gt;0,"Pending","Settled"))),"")</f>
        <v/>
      </c>
    </row>
    <row r="99" spans="1:16">
      <c r="A99" t="str">
        <f t="shared" si="5"/>
        <v/>
      </c>
      <c r="C99" t="str">
        <f t="shared" si="6"/>
        <v/>
      </c>
      <c r="D99" t="str">
        <f>IF(C99="","",(_xlfn.XLOOKUP(C99,'Loan Out'!A:A,'Loan Out'!J:J)))</f>
        <v/>
      </c>
      <c r="E99" t="str">
        <f>IF(C99="","",(_xlfn.XLOOKUP(C99,'Loan Out'!A:A,'Loan Out'!D:D)))</f>
        <v/>
      </c>
      <c r="F99" t="str">
        <f>IF(C99="","",(_xlfn.XLOOKUP(C99,'Loan Out'!A:A,'Loan Out'!E:E)))</f>
        <v/>
      </c>
      <c r="G99" t="str">
        <f>IF(C99="","",(_xlfn.XLOOKUP(C99,'Loan Out'!A:A,'Loan Out'!F:F)))</f>
        <v/>
      </c>
      <c r="H99" t="str">
        <f>IF(C99="","",(_xlfn.XLOOKUP(C99,'Loan Out'!A:A,'Loan Out'!G:G)))</f>
        <v/>
      </c>
      <c r="I99" t="str">
        <f>IF(C99="","",(_xlfn.XLOOKUP(C99,'Loan Out'!A:A,'Loan Out'!H:H)))</f>
        <v/>
      </c>
      <c r="J99" t="str">
        <f>IF(C99="","",(_xlfn.XLOOKUP(C99,'Loan Out'!A:A,'Loan Out'!I:I)))</f>
        <v/>
      </c>
      <c r="K99" t="str">
        <f>IF(C99="","",(_xlfn.XLOOKUP(C99,'Loan Out'!A:A,'Loan Out'!J:J)))</f>
        <v/>
      </c>
      <c r="L99" t="str">
        <f>IF(C99&lt;&gt;"",(SUMIF(Payments!C:C,C99,Payments!G:G)),"")</f>
        <v/>
      </c>
      <c r="M99" t="str">
        <f t="shared" si="7"/>
        <v/>
      </c>
      <c r="N99" t="str">
        <f t="shared" si="8"/>
        <v/>
      </c>
      <c r="O99" t="str">
        <f t="shared" si="9"/>
        <v/>
      </c>
      <c r="P99" s="1" t="str">
        <f>IF(B99&lt;&gt;"",(IF((_xlfn.XLOOKUP(C99,'Loan Out'!A:A,'Loan Out'!L:L))="Bad debt","Bad debt",IF(M99&gt;0,"Pending","Settled"))),"")</f>
        <v/>
      </c>
    </row>
    <row r="100" spans="1:16">
      <c r="A100" t="str">
        <f t="shared" si="5"/>
        <v/>
      </c>
      <c r="C100" t="str">
        <f t="shared" si="6"/>
        <v/>
      </c>
      <c r="D100" t="str">
        <f>IF(C100="","",(_xlfn.XLOOKUP(C100,'Loan Out'!A:A,'Loan Out'!J:J)))</f>
        <v/>
      </c>
      <c r="E100" t="str">
        <f>IF(C100="","",(_xlfn.XLOOKUP(C100,'Loan Out'!A:A,'Loan Out'!D:D)))</f>
        <v/>
      </c>
      <c r="F100" t="str">
        <f>IF(C100="","",(_xlfn.XLOOKUP(C100,'Loan Out'!A:A,'Loan Out'!E:E)))</f>
        <v/>
      </c>
      <c r="G100" t="str">
        <f>IF(C100="","",(_xlfn.XLOOKUP(C100,'Loan Out'!A:A,'Loan Out'!F:F)))</f>
        <v/>
      </c>
      <c r="H100" t="str">
        <f>IF(C100="","",(_xlfn.XLOOKUP(C100,'Loan Out'!A:A,'Loan Out'!G:G)))</f>
        <v/>
      </c>
      <c r="I100" t="str">
        <f>IF(C100="","",(_xlfn.XLOOKUP(C100,'Loan Out'!A:A,'Loan Out'!H:H)))</f>
        <v/>
      </c>
      <c r="J100" t="str">
        <f>IF(C100="","",(_xlfn.XLOOKUP(C100,'Loan Out'!A:A,'Loan Out'!I:I)))</f>
        <v/>
      </c>
      <c r="K100" t="str">
        <f>IF(C100="","",(_xlfn.XLOOKUP(C100,'Loan Out'!A:A,'Loan Out'!J:J)))</f>
        <v/>
      </c>
      <c r="L100" t="str">
        <f>IF(C100&lt;&gt;"",(SUMIF(Payments!C:C,C100,Payments!G:G)),"")</f>
        <v/>
      </c>
      <c r="M100" t="str">
        <f t="shared" si="7"/>
        <v/>
      </c>
      <c r="N100" t="str">
        <f t="shared" si="8"/>
        <v/>
      </c>
      <c r="O100" t="str">
        <f t="shared" si="9"/>
        <v/>
      </c>
      <c r="P100" s="1" t="str">
        <f>IF(B100&lt;&gt;"",(IF((_xlfn.XLOOKUP(C100,'Loan Out'!A:A,'Loan Out'!L:L))="Bad debt","Bad debt",IF(M100&gt;0,"Pending","Settled"))),"")</f>
        <v/>
      </c>
    </row>
    <row r="101" spans="1:16">
      <c r="A101" t="str">
        <f t="shared" si="5"/>
        <v/>
      </c>
      <c r="C101" t="str">
        <f t="shared" si="6"/>
        <v/>
      </c>
      <c r="D101" t="str">
        <f>IF(C101="","",(_xlfn.XLOOKUP(C101,'Loan Out'!A:A,'Loan Out'!J:J)))</f>
        <v/>
      </c>
      <c r="E101" t="str">
        <f>IF(C101="","",(_xlfn.XLOOKUP(C101,'Loan Out'!A:A,'Loan Out'!D:D)))</f>
        <v/>
      </c>
      <c r="F101" t="str">
        <f>IF(C101="","",(_xlfn.XLOOKUP(C101,'Loan Out'!A:A,'Loan Out'!E:E)))</f>
        <v/>
      </c>
      <c r="G101" t="str">
        <f>IF(C101="","",(_xlfn.XLOOKUP(C101,'Loan Out'!A:A,'Loan Out'!F:F)))</f>
        <v/>
      </c>
      <c r="H101" t="str">
        <f>IF(C101="","",(_xlfn.XLOOKUP(C101,'Loan Out'!A:A,'Loan Out'!G:G)))</f>
        <v/>
      </c>
      <c r="I101" t="str">
        <f>IF(C101="","",(_xlfn.XLOOKUP(C101,'Loan Out'!A:A,'Loan Out'!H:H)))</f>
        <v/>
      </c>
      <c r="J101" t="str">
        <f>IF(C101="","",(_xlfn.XLOOKUP(C101,'Loan Out'!A:A,'Loan Out'!I:I)))</f>
        <v/>
      </c>
      <c r="K101" t="str">
        <f>IF(C101="","",(_xlfn.XLOOKUP(C101,'Loan Out'!A:A,'Loan Out'!J:J)))</f>
        <v/>
      </c>
      <c r="L101" t="str">
        <f>IF(C101&lt;&gt;"",(SUMIF(Payments!C:C,C101,Payments!G:G)),"")</f>
        <v/>
      </c>
      <c r="M101" t="str">
        <f t="shared" si="7"/>
        <v/>
      </c>
      <c r="N101" t="str">
        <f t="shared" si="8"/>
        <v/>
      </c>
      <c r="O101" t="str">
        <f t="shared" si="9"/>
        <v/>
      </c>
      <c r="P101" s="1" t="str">
        <f>IF(B101&lt;&gt;"",(IF((_xlfn.XLOOKUP(C101,'Loan Out'!A:A,'Loan Out'!L:L))="Bad debt","Bad debt",IF(M101&gt;0,"Pending","Settled"))),"")</f>
        <v/>
      </c>
    </row>
    <row r="102" spans="1:16">
      <c r="A102" t="str">
        <f t="shared" si="5"/>
        <v/>
      </c>
      <c r="C102" t="str">
        <f t="shared" si="6"/>
        <v/>
      </c>
      <c r="D102" t="str">
        <f>IF(C102="","",(_xlfn.XLOOKUP(C102,'Loan Out'!A:A,'Loan Out'!J:J)))</f>
        <v/>
      </c>
      <c r="E102" t="str">
        <f>IF(C102="","",(_xlfn.XLOOKUP(C102,'Loan Out'!A:A,'Loan Out'!D:D)))</f>
        <v/>
      </c>
      <c r="F102" t="str">
        <f>IF(C102="","",(_xlfn.XLOOKUP(C102,'Loan Out'!A:A,'Loan Out'!E:E)))</f>
        <v/>
      </c>
      <c r="G102" t="str">
        <f>IF(C102="","",(_xlfn.XLOOKUP(C102,'Loan Out'!A:A,'Loan Out'!F:F)))</f>
        <v/>
      </c>
      <c r="H102" t="str">
        <f>IF(C102="","",(_xlfn.XLOOKUP(C102,'Loan Out'!A:A,'Loan Out'!G:G)))</f>
        <v/>
      </c>
      <c r="I102" t="str">
        <f>IF(C102="","",(_xlfn.XLOOKUP(C102,'Loan Out'!A:A,'Loan Out'!H:H)))</f>
        <v/>
      </c>
      <c r="J102" t="str">
        <f>IF(C102="","",(_xlfn.XLOOKUP(C102,'Loan Out'!A:A,'Loan Out'!I:I)))</f>
        <v/>
      </c>
      <c r="K102" t="str">
        <f>IF(C102="","",(_xlfn.XLOOKUP(C102,'Loan Out'!A:A,'Loan Out'!J:J)))</f>
        <v/>
      </c>
      <c r="L102" t="str">
        <f>IF(C102&lt;&gt;"",(SUMIF(Payments!C:C,C102,Payments!G:G)),"")</f>
        <v/>
      </c>
      <c r="M102" t="str">
        <f t="shared" si="7"/>
        <v/>
      </c>
      <c r="N102" t="str">
        <f t="shared" si="8"/>
        <v/>
      </c>
      <c r="O102" t="str">
        <f t="shared" si="9"/>
        <v/>
      </c>
      <c r="P102" s="1" t="str">
        <f>IF(B102&lt;&gt;"",(IF((_xlfn.XLOOKUP(C102,'Loan Out'!A:A,'Loan Out'!L:L))="Bad debt","Bad debt",IF(M102&gt;0,"Pending","Settled"))),"")</f>
        <v/>
      </c>
    </row>
    <row r="103" spans="1:16">
      <c r="A103" t="str">
        <f t="shared" si="5"/>
        <v/>
      </c>
      <c r="C103" t="str">
        <f t="shared" si="6"/>
        <v/>
      </c>
      <c r="D103" t="str">
        <f>IF(C103="","",(_xlfn.XLOOKUP(C103,'Loan Out'!A:A,'Loan Out'!J:J)))</f>
        <v/>
      </c>
      <c r="E103" t="str">
        <f>IF(C103="","",(_xlfn.XLOOKUP(C103,'Loan Out'!A:A,'Loan Out'!D:D)))</f>
        <v/>
      </c>
      <c r="F103" t="str">
        <f>IF(C103="","",(_xlfn.XLOOKUP(C103,'Loan Out'!A:A,'Loan Out'!E:E)))</f>
        <v/>
      </c>
      <c r="G103" t="str">
        <f>IF(C103="","",(_xlfn.XLOOKUP(C103,'Loan Out'!A:A,'Loan Out'!F:F)))</f>
        <v/>
      </c>
      <c r="H103" t="str">
        <f>IF(C103="","",(_xlfn.XLOOKUP(C103,'Loan Out'!A:A,'Loan Out'!G:G)))</f>
        <v/>
      </c>
      <c r="I103" t="str">
        <f>IF(C103="","",(_xlfn.XLOOKUP(C103,'Loan Out'!A:A,'Loan Out'!H:H)))</f>
        <v/>
      </c>
      <c r="J103" t="str">
        <f>IF(C103="","",(_xlfn.XLOOKUP(C103,'Loan Out'!A:A,'Loan Out'!I:I)))</f>
        <v/>
      </c>
      <c r="K103" t="str">
        <f>IF(C103="","",(_xlfn.XLOOKUP(C103,'Loan Out'!A:A,'Loan Out'!J:J)))</f>
        <v/>
      </c>
      <c r="L103" t="str">
        <f>IF(C103&lt;&gt;"",(SUMIF(Payments!C:C,C103,Payments!G:G)),"")</f>
        <v/>
      </c>
      <c r="M103" t="str">
        <f t="shared" si="7"/>
        <v/>
      </c>
      <c r="N103" t="str">
        <f t="shared" si="8"/>
        <v/>
      </c>
      <c r="O103" t="str">
        <f t="shared" si="9"/>
        <v/>
      </c>
      <c r="P103" s="1" t="str">
        <f>IF(B103&lt;&gt;"",(IF((_xlfn.XLOOKUP(C103,'Loan Out'!A:A,'Loan Out'!L:L))="Bad debt","Bad debt",IF(M103&gt;0,"Pending","Settled"))),"")</f>
        <v/>
      </c>
    </row>
    <row r="104" spans="1:16">
      <c r="A104" t="str">
        <f t="shared" si="5"/>
        <v/>
      </c>
      <c r="C104" t="str">
        <f t="shared" si="6"/>
        <v/>
      </c>
      <c r="D104" t="str">
        <f>IF(C104="","",(_xlfn.XLOOKUP(C104,'Loan Out'!A:A,'Loan Out'!J:J)))</f>
        <v/>
      </c>
      <c r="E104" t="str">
        <f>IF(C104="","",(_xlfn.XLOOKUP(C104,'Loan Out'!A:A,'Loan Out'!D:D)))</f>
        <v/>
      </c>
      <c r="F104" t="str">
        <f>IF(C104="","",(_xlfn.XLOOKUP(C104,'Loan Out'!A:A,'Loan Out'!E:E)))</f>
        <v/>
      </c>
      <c r="G104" t="str">
        <f>IF(C104="","",(_xlfn.XLOOKUP(C104,'Loan Out'!A:A,'Loan Out'!F:F)))</f>
        <v/>
      </c>
      <c r="H104" t="str">
        <f>IF(C104="","",(_xlfn.XLOOKUP(C104,'Loan Out'!A:A,'Loan Out'!G:G)))</f>
        <v/>
      </c>
      <c r="I104" t="str">
        <f>IF(C104="","",(_xlfn.XLOOKUP(C104,'Loan Out'!A:A,'Loan Out'!H:H)))</f>
        <v/>
      </c>
      <c r="J104" t="str">
        <f>IF(C104="","",(_xlfn.XLOOKUP(C104,'Loan Out'!A:A,'Loan Out'!I:I)))</f>
        <v/>
      </c>
      <c r="K104" t="str">
        <f>IF(C104="","",(_xlfn.XLOOKUP(C104,'Loan Out'!A:A,'Loan Out'!J:J)))</f>
        <v/>
      </c>
      <c r="L104" t="str">
        <f>IF(C104&lt;&gt;"",(SUMIF(Payments!C:C,C104,Payments!G:G)),"")</f>
        <v/>
      </c>
      <c r="M104" t="str">
        <f t="shared" si="7"/>
        <v/>
      </c>
      <c r="N104" t="str">
        <f t="shared" si="8"/>
        <v/>
      </c>
      <c r="O104" t="str">
        <f t="shared" si="9"/>
        <v/>
      </c>
      <c r="P104" s="1" t="str">
        <f>IF(B104&lt;&gt;"",(IF((_xlfn.XLOOKUP(C104,'Loan Out'!A:A,'Loan Out'!L:L))="Bad debt","Bad debt",IF(M104&gt;0,"Pending","Settled"))),"")</f>
        <v/>
      </c>
    </row>
    <row r="105" spans="1:16">
      <c r="A105" t="str">
        <f t="shared" si="5"/>
        <v/>
      </c>
      <c r="C105" t="str">
        <f t="shared" si="6"/>
        <v/>
      </c>
      <c r="D105" t="str">
        <f>IF(C105="","",(_xlfn.XLOOKUP(C105,'Loan Out'!A:A,'Loan Out'!J:J)))</f>
        <v/>
      </c>
      <c r="E105" t="str">
        <f>IF(C105="","",(_xlfn.XLOOKUP(C105,'Loan Out'!A:A,'Loan Out'!D:D)))</f>
        <v/>
      </c>
      <c r="F105" t="str">
        <f>IF(C105="","",(_xlfn.XLOOKUP(C105,'Loan Out'!A:A,'Loan Out'!E:E)))</f>
        <v/>
      </c>
      <c r="G105" t="str">
        <f>IF(C105="","",(_xlfn.XLOOKUP(C105,'Loan Out'!A:A,'Loan Out'!F:F)))</f>
        <v/>
      </c>
      <c r="H105" t="str">
        <f>IF(C105="","",(_xlfn.XLOOKUP(C105,'Loan Out'!A:A,'Loan Out'!G:G)))</f>
        <v/>
      </c>
      <c r="I105" t="str">
        <f>IF(C105="","",(_xlfn.XLOOKUP(C105,'Loan Out'!A:A,'Loan Out'!H:H)))</f>
        <v/>
      </c>
      <c r="J105" t="str">
        <f>IF(C105="","",(_xlfn.XLOOKUP(C105,'Loan Out'!A:A,'Loan Out'!I:I)))</f>
        <v/>
      </c>
      <c r="K105" t="str">
        <f>IF(C105="","",(_xlfn.XLOOKUP(C105,'Loan Out'!A:A,'Loan Out'!J:J)))</f>
        <v/>
      </c>
      <c r="L105" t="str">
        <f>IF(C105&lt;&gt;"",(SUMIF(Payments!C:C,C105,Payments!G:G)),"")</f>
        <v/>
      </c>
      <c r="M105" t="str">
        <f t="shared" si="7"/>
        <v/>
      </c>
      <c r="N105" t="str">
        <f t="shared" si="8"/>
        <v/>
      </c>
      <c r="O105" t="str">
        <f t="shared" si="9"/>
        <v/>
      </c>
      <c r="P105" s="1" t="str">
        <f>IF(B105&lt;&gt;"",(IF((_xlfn.XLOOKUP(C105,'Loan Out'!A:A,'Loan Out'!L:L))="Bad debt","Bad debt",IF(M105&gt;0,"Pending","Settled"))),"")</f>
        <v/>
      </c>
    </row>
    <row r="106" spans="1:16">
      <c r="A106" t="str">
        <f t="shared" si="5"/>
        <v/>
      </c>
      <c r="C106" t="str">
        <f t="shared" si="6"/>
        <v/>
      </c>
      <c r="D106" t="str">
        <f>IF(C106="","",(_xlfn.XLOOKUP(C106,'Loan Out'!A:A,'Loan Out'!J:J)))</f>
        <v/>
      </c>
      <c r="E106" t="str">
        <f>IF(C106="","",(_xlfn.XLOOKUP(C106,'Loan Out'!A:A,'Loan Out'!D:D)))</f>
        <v/>
      </c>
      <c r="F106" t="str">
        <f>IF(C106="","",(_xlfn.XLOOKUP(C106,'Loan Out'!A:A,'Loan Out'!E:E)))</f>
        <v/>
      </c>
      <c r="G106" t="str">
        <f>IF(C106="","",(_xlfn.XLOOKUP(C106,'Loan Out'!A:A,'Loan Out'!F:F)))</f>
        <v/>
      </c>
      <c r="H106" t="str">
        <f>IF(C106="","",(_xlfn.XLOOKUP(C106,'Loan Out'!A:A,'Loan Out'!G:G)))</f>
        <v/>
      </c>
      <c r="I106" t="str">
        <f>IF(C106="","",(_xlfn.XLOOKUP(C106,'Loan Out'!A:A,'Loan Out'!H:H)))</f>
        <v/>
      </c>
      <c r="J106" t="str">
        <f>IF(C106="","",(_xlfn.XLOOKUP(C106,'Loan Out'!A:A,'Loan Out'!I:I)))</f>
        <v/>
      </c>
      <c r="K106" t="str">
        <f>IF(C106="","",(_xlfn.XLOOKUP(C106,'Loan Out'!A:A,'Loan Out'!J:J)))</f>
        <v/>
      </c>
      <c r="L106" t="str">
        <f>IF(C106&lt;&gt;"",(SUMIF(Payments!C:C,C106,Payments!G:G)),"")</f>
        <v/>
      </c>
      <c r="M106" t="str">
        <f t="shared" si="7"/>
        <v/>
      </c>
      <c r="N106" t="str">
        <f t="shared" si="8"/>
        <v/>
      </c>
      <c r="O106" t="str">
        <f t="shared" si="9"/>
        <v/>
      </c>
      <c r="P106" s="1" t="str">
        <f>IF(B106&lt;&gt;"",(IF((_xlfn.XLOOKUP(C106,'Loan Out'!A:A,'Loan Out'!L:L))="Bad debt","Bad debt",IF(M106&gt;0,"Pending","Settled"))),"")</f>
        <v/>
      </c>
    </row>
    <row r="107" spans="1:16">
      <c r="A107" t="str">
        <f t="shared" si="5"/>
        <v/>
      </c>
      <c r="C107" t="str">
        <f t="shared" si="6"/>
        <v/>
      </c>
      <c r="D107" t="str">
        <f>IF(C107="","",(_xlfn.XLOOKUP(C107,'Loan Out'!A:A,'Loan Out'!J:J)))</f>
        <v/>
      </c>
      <c r="E107" t="str">
        <f>IF(C107="","",(_xlfn.XLOOKUP(C107,'Loan Out'!A:A,'Loan Out'!D:D)))</f>
        <v/>
      </c>
      <c r="F107" t="str">
        <f>IF(C107="","",(_xlfn.XLOOKUP(C107,'Loan Out'!A:A,'Loan Out'!E:E)))</f>
        <v/>
      </c>
      <c r="G107" t="str">
        <f>IF(C107="","",(_xlfn.XLOOKUP(C107,'Loan Out'!A:A,'Loan Out'!F:F)))</f>
        <v/>
      </c>
      <c r="H107" t="str">
        <f>IF(C107="","",(_xlfn.XLOOKUP(C107,'Loan Out'!A:A,'Loan Out'!G:G)))</f>
        <v/>
      </c>
      <c r="I107" t="str">
        <f>IF(C107="","",(_xlfn.XLOOKUP(C107,'Loan Out'!A:A,'Loan Out'!H:H)))</f>
        <v/>
      </c>
      <c r="J107" t="str">
        <f>IF(C107="","",(_xlfn.XLOOKUP(C107,'Loan Out'!A:A,'Loan Out'!I:I)))</f>
        <v/>
      </c>
      <c r="K107" t="str">
        <f>IF(C107="","",(_xlfn.XLOOKUP(C107,'Loan Out'!A:A,'Loan Out'!J:J)))</f>
        <v/>
      </c>
      <c r="L107" t="str">
        <f>IF(C107&lt;&gt;"",(SUMIF(Payments!C:C,C107,Payments!G:G)),"")</f>
        <v/>
      </c>
      <c r="M107" t="str">
        <f t="shared" si="7"/>
        <v/>
      </c>
      <c r="N107" t="str">
        <f t="shared" si="8"/>
        <v/>
      </c>
      <c r="O107" t="str">
        <f t="shared" si="9"/>
        <v/>
      </c>
      <c r="P107" s="1" t="str">
        <f>IF(B107&lt;&gt;"",(IF((_xlfn.XLOOKUP(C107,'Loan Out'!A:A,'Loan Out'!L:L))="Bad debt","Bad debt",IF(M107&gt;0,"Pending","Settled"))),"")</f>
        <v/>
      </c>
    </row>
    <row r="108" spans="1:16">
      <c r="A108" t="str">
        <f t="shared" si="5"/>
        <v/>
      </c>
      <c r="C108" t="str">
        <f t="shared" si="6"/>
        <v/>
      </c>
      <c r="D108" t="str">
        <f>IF(C108="","",(_xlfn.XLOOKUP(C108,'Loan Out'!A:A,'Loan Out'!J:J)))</f>
        <v/>
      </c>
      <c r="E108" t="str">
        <f>IF(C108="","",(_xlfn.XLOOKUP(C108,'Loan Out'!A:A,'Loan Out'!D:D)))</f>
        <v/>
      </c>
      <c r="F108" t="str">
        <f>IF(C108="","",(_xlfn.XLOOKUP(C108,'Loan Out'!A:A,'Loan Out'!E:E)))</f>
        <v/>
      </c>
      <c r="G108" t="str">
        <f>IF(C108="","",(_xlfn.XLOOKUP(C108,'Loan Out'!A:A,'Loan Out'!F:F)))</f>
        <v/>
      </c>
      <c r="H108" t="str">
        <f>IF(C108="","",(_xlfn.XLOOKUP(C108,'Loan Out'!A:A,'Loan Out'!G:G)))</f>
        <v/>
      </c>
      <c r="I108" t="str">
        <f>IF(C108="","",(_xlfn.XLOOKUP(C108,'Loan Out'!A:A,'Loan Out'!H:H)))</f>
        <v/>
      </c>
      <c r="J108" t="str">
        <f>IF(C108="","",(_xlfn.XLOOKUP(C108,'Loan Out'!A:A,'Loan Out'!I:I)))</f>
        <v/>
      </c>
      <c r="K108" t="str">
        <f>IF(C108="","",(_xlfn.XLOOKUP(C108,'Loan Out'!A:A,'Loan Out'!J:J)))</f>
        <v/>
      </c>
      <c r="L108" t="str">
        <f>IF(C108&lt;&gt;"",(SUMIF(Payments!C:C,C108,Payments!G:G)),"")</f>
        <v/>
      </c>
      <c r="M108" t="str">
        <f t="shared" si="7"/>
        <v/>
      </c>
      <c r="N108" t="str">
        <f t="shared" si="8"/>
        <v/>
      </c>
      <c r="O108" t="str">
        <f t="shared" si="9"/>
        <v/>
      </c>
      <c r="P108" s="1" t="str">
        <f>IF(B108&lt;&gt;"",(IF((_xlfn.XLOOKUP(C108,'Loan Out'!A:A,'Loan Out'!L:L))="Bad debt","Bad debt",IF(M108&gt;0,"Pending","Settled"))),"")</f>
        <v/>
      </c>
    </row>
    <row r="109" spans="1:16">
      <c r="A109" t="str">
        <f t="shared" si="5"/>
        <v/>
      </c>
      <c r="C109" t="str">
        <f t="shared" si="6"/>
        <v/>
      </c>
      <c r="D109" t="str">
        <f>IF(C109="","",(_xlfn.XLOOKUP(C109,'Loan Out'!A:A,'Loan Out'!J:J)))</f>
        <v/>
      </c>
      <c r="E109" t="str">
        <f>IF(C109="","",(_xlfn.XLOOKUP(C109,'Loan Out'!A:A,'Loan Out'!D:D)))</f>
        <v/>
      </c>
      <c r="F109" t="str">
        <f>IF(C109="","",(_xlfn.XLOOKUP(C109,'Loan Out'!A:A,'Loan Out'!E:E)))</f>
        <v/>
      </c>
      <c r="G109" t="str">
        <f>IF(C109="","",(_xlfn.XLOOKUP(C109,'Loan Out'!A:A,'Loan Out'!F:F)))</f>
        <v/>
      </c>
      <c r="H109" t="str">
        <f>IF(C109="","",(_xlfn.XLOOKUP(C109,'Loan Out'!A:A,'Loan Out'!G:G)))</f>
        <v/>
      </c>
      <c r="I109" t="str">
        <f>IF(C109="","",(_xlfn.XLOOKUP(C109,'Loan Out'!A:A,'Loan Out'!H:H)))</f>
        <v/>
      </c>
      <c r="J109" t="str">
        <f>IF(C109="","",(_xlfn.XLOOKUP(C109,'Loan Out'!A:A,'Loan Out'!I:I)))</f>
        <v/>
      </c>
      <c r="K109" t="str">
        <f>IF(C109="","",(_xlfn.XLOOKUP(C109,'Loan Out'!A:A,'Loan Out'!J:J)))</f>
        <v/>
      </c>
      <c r="L109" t="str">
        <f>IF(C109&lt;&gt;"",(SUMIF(Payments!C:C,C109,Payments!G:G)),"")</f>
        <v/>
      </c>
      <c r="M109" t="str">
        <f t="shared" si="7"/>
        <v/>
      </c>
      <c r="N109" t="str">
        <f t="shared" si="8"/>
        <v/>
      </c>
      <c r="O109" t="str">
        <f t="shared" si="9"/>
        <v/>
      </c>
      <c r="P109" s="1" t="str">
        <f>IF(B109&lt;&gt;"",(IF((_xlfn.XLOOKUP(C109,'Loan Out'!A:A,'Loan Out'!L:L))="Bad debt","Bad debt",IF(M109&gt;0,"Pending","Settled"))),"")</f>
        <v/>
      </c>
    </row>
    <row r="110" spans="1:16">
      <c r="A110" t="str">
        <f t="shared" si="5"/>
        <v/>
      </c>
      <c r="C110" t="str">
        <f t="shared" si="6"/>
        <v/>
      </c>
      <c r="D110" t="str">
        <f>IF(C110="","",(_xlfn.XLOOKUP(C110,'Loan Out'!A:A,'Loan Out'!J:J)))</f>
        <v/>
      </c>
      <c r="E110" t="str">
        <f>IF(C110="","",(_xlfn.XLOOKUP(C110,'Loan Out'!A:A,'Loan Out'!D:D)))</f>
        <v/>
      </c>
      <c r="F110" t="str">
        <f>IF(C110="","",(_xlfn.XLOOKUP(C110,'Loan Out'!A:A,'Loan Out'!E:E)))</f>
        <v/>
      </c>
      <c r="G110" t="str">
        <f>IF(C110="","",(_xlfn.XLOOKUP(C110,'Loan Out'!A:A,'Loan Out'!F:F)))</f>
        <v/>
      </c>
      <c r="H110" t="str">
        <f>IF(C110="","",(_xlfn.XLOOKUP(C110,'Loan Out'!A:A,'Loan Out'!G:G)))</f>
        <v/>
      </c>
      <c r="I110" t="str">
        <f>IF(C110="","",(_xlfn.XLOOKUP(C110,'Loan Out'!A:A,'Loan Out'!H:H)))</f>
        <v/>
      </c>
      <c r="J110" t="str">
        <f>IF(C110="","",(_xlfn.XLOOKUP(C110,'Loan Out'!A:A,'Loan Out'!I:I)))</f>
        <v/>
      </c>
      <c r="K110" t="str">
        <f>IF(C110="","",(_xlfn.XLOOKUP(C110,'Loan Out'!A:A,'Loan Out'!J:J)))</f>
        <v/>
      </c>
      <c r="L110" t="str">
        <f>IF(C110&lt;&gt;"",(SUMIF(Payments!C:C,C110,Payments!G:G)),"")</f>
        <v/>
      </c>
      <c r="M110" t="str">
        <f t="shared" si="7"/>
        <v/>
      </c>
      <c r="N110" t="str">
        <f t="shared" si="8"/>
        <v/>
      </c>
      <c r="O110" t="str">
        <f t="shared" si="9"/>
        <v/>
      </c>
      <c r="P110" s="1" t="str">
        <f>IF(B110&lt;&gt;"",(IF((_xlfn.XLOOKUP(C110,'Loan Out'!A:A,'Loan Out'!L:L))="Bad debt","Bad debt",IF(M110&gt;0,"Pending","Settled"))),"")</f>
        <v/>
      </c>
    </row>
    <row r="111" spans="1:16">
      <c r="A111" t="str">
        <f t="shared" si="5"/>
        <v/>
      </c>
      <c r="C111" t="str">
        <f t="shared" si="6"/>
        <v/>
      </c>
      <c r="D111" t="str">
        <f>IF(C111="","",(_xlfn.XLOOKUP(C111,'Loan Out'!A:A,'Loan Out'!J:J)))</f>
        <v/>
      </c>
      <c r="E111" t="str">
        <f>IF(C111="","",(_xlfn.XLOOKUP(C111,'Loan Out'!A:A,'Loan Out'!D:D)))</f>
        <v/>
      </c>
      <c r="F111" t="str">
        <f>IF(C111="","",(_xlfn.XLOOKUP(C111,'Loan Out'!A:A,'Loan Out'!E:E)))</f>
        <v/>
      </c>
      <c r="G111" t="str">
        <f>IF(C111="","",(_xlfn.XLOOKUP(C111,'Loan Out'!A:A,'Loan Out'!F:F)))</f>
        <v/>
      </c>
      <c r="H111" t="str">
        <f>IF(C111="","",(_xlfn.XLOOKUP(C111,'Loan Out'!A:A,'Loan Out'!G:G)))</f>
        <v/>
      </c>
      <c r="I111" t="str">
        <f>IF(C111="","",(_xlfn.XLOOKUP(C111,'Loan Out'!A:A,'Loan Out'!H:H)))</f>
        <v/>
      </c>
      <c r="J111" t="str">
        <f>IF(C111="","",(_xlfn.XLOOKUP(C111,'Loan Out'!A:A,'Loan Out'!I:I)))</f>
        <v/>
      </c>
      <c r="K111" t="str">
        <f>IF(C111="","",(_xlfn.XLOOKUP(C111,'Loan Out'!A:A,'Loan Out'!J:J)))</f>
        <v/>
      </c>
      <c r="L111" t="str">
        <f>IF(C111&lt;&gt;"",(SUMIF(Payments!C:C,C111,Payments!G:G)),"")</f>
        <v/>
      </c>
      <c r="M111" t="str">
        <f t="shared" si="7"/>
        <v/>
      </c>
      <c r="N111" t="str">
        <f t="shared" si="8"/>
        <v/>
      </c>
      <c r="O111" t="str">
        <f t="shared" si="9"/>
        <v/>
      </c>
      <c r="P111" s="1" t="str">
        <f>IF(B111&lt;&gt;"",(IF((_xlfn.XLOOKUP(C111,'Loan Out'!A:A,'Loan Out'!L:L))="Bad debt","Bad debt",IF(M111&gt;0,"Pending","Settled"))),"")</f>
        <v/>
      </c>
    </row>
    <row r="112" spans="1:16">
      <c r="A112" t="str">
        <f t="shared" si="5"/>
        <v/>
      </c>
      <c r="C112" t="str">
        <f t="shared" si="6"/>
        <v/>
      </c>
      <c r="D112" t="str">
        <f>IF(C112="","",(_xlfn.XLOOKUP(C112,'Loan Out'!A:A,'Loan Out'!J:J)))</f>
        <v/>
      </c>
      <c r="E112" t="str">
        <f>IF(C112="","",(_xlfn.XLOOKUP(C112,'Loan Out'!A:A,'Loan Out'!D:D)))</f>
        <v/>
      </c>
      <c r="F112" t="str">
        <f>IF(C112="","",(_xlfn.XLOOKUP(C112,'Loan Out'!A:A,'Loan Out'!E:E)))</f>
        <v/>
      </c>
      <c r="G112" t="str">
        <f>IF(C112="","",(_xlfn.XLOOKUP(C112,'Loan Out'!A:A,'Loan Out'!F:F)))</f>
        <v/>
      </c>
      <c r="H112" t="str">
        <f>IF(C112="","",(_xlfn.XLOOKUP(C112,'Loan Out'!A:A,'Loan Out'!G:G)))</f>
        <v/>
      </c>
      <c r="I112" t="str">
        <f>IF(C112="","",(_xlfn.XLOOKUP(C112,'Loan Out'!A:A,'Loan Out'!H:H)))</f>
        <v/>
      </c>
      <c r="J112" t="str">
        <f>IF(C112="","",(_xlfn.XLOOKUP(C112,'Loan Out'!A:A,'Loan Out'!I:I)))</f>
        <v/>
      </c>
      <c r="K112" t="str">
        <f>IF(C112="","",(_xlfn.XLOOKUP(C112,'Loan Out'!A:A,'Loan Out'!J:J)))</f>
        <v/>
      </c>
      <c r="L112" t="str">
        <f>IF(C112&lt;&gt;"",(SUMIF(Payments!C:C,C112,Payments!G:G)),"")</f>
        <v/>
      </c>
      <c r="M112" t="str">
        <f t="shared" si="7"/>
        <v/>
      </c>
      <c r="N112" t="str">
        <f t="shared" si="8"/>
        <v/>
      </c>
      <c r="O112" t="str">
        <f t="shared" si="9"/>
        <v/>
      </c>
      <c r="P112" s="1" t="str">
        <f>IF(B112&lt;&gt;"",(IF((_xlfn.XLOOKUP(C112,'Loan Out'!A:A,'Loan Out'!L:L))="Bad debt","Bad debt",IF(M112&gt;0,"Pending","Settled"))),"")</f>
        <v/>
      </c>
    </row>
    <row r="113" spans="1:16">
      <c r="A113" t="str">
        <f t="shared" si="5"/>
        <v/>
      </c>
      <c r="C113" t="str">
        <f t="shared" si="6"/>
        <v/>
      </c>
      <c r="D113" t="str">
        <f>IF(C113="","",(_xlfn.XLOOKUP(C113,'Loan Out'!A:A,'Loan Out'!J:J)))</f>
        <v/>
      </c>
      <c r="E113" t="str">
        <f>IF(C113="","",(_xlfn.XLOOKUP(C113,'Loan Out'!A:A,'Loan Out'!D:D)))</f>
        <v/>
      </c>
      <c r="F113" t="str">
        <f>IF(C113="","",(_xlfn.XLOOKUP(C113,'Loan Out'!A:A,'Loan Out'!E:E)))</f>
        <v/>
      </c>
      <c r="G113" t="str">
        <f>IF(C113="","",(_xlfn.XLOOKUP(C113,'Loan Out'!A:A,'Loan Out'!F:F)))</f>
        <v/>
      </c>
      <c r="H113" t="str">
        <f>IF(C113="","",(_xlfn.XLOOKUP(C113,'Loan Out'!A:A,'Loan Out'!G:G)))</f>
        <v/>
      </c>
      <c r="I113" t="str">
        <f>IF(C113="","",(_xlfn.XLOOKUP(C113,'Loan Out'!A:A,'Loan Out'!H:H)))</f>
        <v/>
      </c>
      <c r="J113" t="str">
        <f>IF(C113="","",(_xlfn.XLOOKUP(C113,'Loan Out'!A:A,'Loan Out'!I:I)))</f>
        <v/>
      </c>
      <c r="K113" t="str">
        <f>IF(C113="","",(_xlfn.XLOOKUP(C113,'Loan Out'!A:A,'Loan Out'!J:J)))</f>
        <v/>
      </c>
      <c r="L113" t="str">
        <f>IF(C113&lt;&gt;"",(SUMIF(Payments!C:C,C113,Payments!G:G)),"")</f>
        <v/>
      </c>
      <c r="M113" t="str">
        <f t="shared" si="7"/>
        <v/>
      </c>
      <c r="N113" t="str">
        <f t="shared" si="8"/>
        <v/>
      </c>
      <c r="O113" t="str">
        <f t="shared" si="9"/>
        <v/>
      </c>
      <c r="P113" s="1" t="str">
        <f>IF(B113&lt;&gt;"",(IF((_xlfn.XLOOKUP(C113,'Loan Out'!A:A,'Loan Out'!L:L))="Bad debt","Bad debt",IF(M113&gt;0,"Pending","Settled"))),"")</f>
        <v/>
      </c>
    </row>
    <row r="114" spans="1:16">
      <c r="A114" t="str">
        <f t="shared" si="5"/>
        <v/>
      </c>
      <c r="C114" t="str">
        <f t="shared" si="6"/>
        <v/>
      </c>
      <c r="D114" t="str">
        <f>IF(C114="","",(_xlfn.XLOOKUP(C114,'Loan Out'!A:A,'Loan Out'!J:J)))</f>
        <v/>
      </c>
      <c r="E114" t="str">
        <f>IF(C114="","",(_xlfn.XLOOKUP(C114,'Loan Out'!A:A,'Loan Out'!D:D)))</f>
        <v/>
      </c>
      <c r="F114" t="str">
        <f>IF(C114="","",(_xlfn.XLOOKUP(C114,'Loan Out'!A:A,'Loan Out'!E:E)))</f>
        <v/>
      </c>
      <c r="G114" t="str">
        <f>IF(C114="","",(_xlfn.XLOOKUP(C114,'Loan Out'!A:A,'Loan Out'!F:F)))</f>
        <v/>
      </c>
      <c r="H114" t="str">
        <f>IF(C114="","",(_xlfn.XLOOKUP(C114,'Loan Out'!A:A,'Loan Out'!G:G)))</f>
        <v/>
      </c>
      <c r="I114" t="str">
        <f>IF(C114="","",(_xlfn.XLOOKUP(C114,'Loan Out'!A:A,'Loan Out'!H:H)))</f>
        <v/>
      </c>
      <c r="J114" t="str">
        <f>IF(C114="","",(_xlfn.XLOOKUP(C114,'Loan Out'!A:A,'Loan Out'!I:I)))</f>
        <v/>
      </c>
      <c r="K114" t="str">
        <f>IF(C114="","",(_xlfn.XLOOKUP(C114,'Loan Out'!A:A,'Loan Out'!J:J)))</f>
        <v/>
      </c>
      <c r="L114" t="str">
        <f>IF(C114&lt;&gt;"",(SUMIF(Payments!C:C,C114,Payments!G:G)),"")</f>
        <v/>
      </c>
      <c r="M114" t="str">
        <f t="shared" si="7"/>
        <v/>
      </c>
      <c r="N114" t="str">
        <f t="shared" si="8"/>
        <v/>
      </c>
      <c r="O114" t="str">
        <f t="shared" si="9"/>
        <v/>
      </c>
      <c r="P114" s="1" t="str">
        <f>IF(B114&lt;&gt;"",(IF((_xlfn.XLOOKUP(C114,'Loan Out'!A:A,'Loan Out'!L:L))="Bad debt","Bad debt",IF(M114&gt;0,"Pending","Settled"))),"")</f>
        <v/>
      </c>
    </row>
    <row r="115" spans="1:16">
      <c r="A115" t="str">
        <f t="shared" si="5"/>
        <v/>
      </c>
      <c r="C115" t="str">
        <f t="shared" si="6"/>
        <v/>
      </c>
      <c r="D115" t="str">
        <f>IF(C115="","",(_xlfn.XLOOKUP(C115,'Loan Out'!A:A,'Loan Out'!J:J)))</f>
        <v/>
      </c>
      <c r="E115" t="str">
        <f>IF(C115="","",(_xlfn.XLOOKUP(C115,'Loan Out'!A:A,'Loan Out'!D:D)))</f>
        <v/>
      </c>
      <c r="F115" t="str">
        <f>IF(C115="","",(_xlfn.XLOOKUP(C115,'Loan Out'!A:A,'Loan Out'!E:E)))</f>
        <v/>
      </c>
      <c r="G115" t="str">
        <f>IF(C115="","",(_xlfn.XLOOKUP(C115,'Loan Out'!A:A,'Loan Out'!F:F)))</f>
        <v/>
      </c>
      <c r="H115" t="str">
        <f>IF(C115="","",(_xlfn.XLOOKUP(C115,'Loan Out'!A:A,'Loan Out'!G:G)))</f>
        <v/>
      </c>
      <c r="I115" t="str">
        <f>IF(C115="","",(_xlfn.XLOOKUP(C115,'Loan Out'!A:A,'Loan Out'!H:H)))</f>
        <v/>
      </c>
      <c r="J115" t="str">
        <f>IF(C115="","",(_xlfn.XLOOKUP(C115,'Loan Out'!A:A,'Loan Out'!I:I)))</f>
        <v/>
      </c>
      <c r="K115" t="str">
        <f>IF(C115="","",(_xlfn.XLOOKUP(C115,'Loan Out'!A:A,'Loan Out'!J:J)))</f>
        <v/>
      </c>
      <c r="L115" t="str">
        <f>IF(C115&lt;&gt;"",(SUMIF(Payments!C:C,C115,Payments!G:G)),"")</f>
        <v/>
      </c>
      <c r="M115" t="str">
        <f t="shared" si="7"/>
        <v/>
      </c>
      <c r="N115" t="str">
        <f t="shared" si="8"/>
        <v/>
      </c>
      <c r="O115" t="str">
        <f t="shared" si="9"/>
        <v/>
      </c>
      <c r="P115" s="1" t="str">
        <f>IF(B115&lt;&gt;"",(IF((_xlfn.XLOOKUP(C115,'Loan Out'!A:A,'Loan Out'!L:L))="Bad debt","Bad debt",IF(M115&gt;0,"Pending","Settled"))),"")</f>
        <v/>
      </c>
    </row>
    <row r="116" spans="1:16">
      <c r="A116" t="str">
        <f t="shared" si="5"/>
        <v/>
      </c>
      <c r="C116" t="str">
        <f t="shared" si="6"/>
        <v/>
      </c>
      <c r="D116" t="str">
        <f>IF(C116="","",(_xlfn.XLOOKUP(C116,'Loan Out'!A:A,'Loan Out'!J:J)))</f>
        <v/>
      </c>
      <c r="E116" t="str">
        <f>IF(C116="","",(_xlfn.XLOOKUP(C116,'Loan Out'!A:A,'Loan Out'!D:D)))</f>
        <v/>
      </c>
      <c r="F116" t="str">
        <f>IF(C116="","",(_xlfn.XLOOKUP(C116,'Loan Out'!A:A,'Loan Out'!E:E)))</f>
        <v/>
      </c>
      <c r="G116" t="str">
        <f>IF(C116="","",(_xlfn.XLOOKUP(C116,'Loan Out'!A:A,'Loan Out'!F:F)))</f>
        <v/>
      </c>
      <c r="H116" t="str">
        <f>IF(C116="","",(_xlfn.XLOOKUP(C116,'Loan Out'!A:A,'Loan Out'!G:G)))</f>
        <v/>
      </c>
      <c r="I116" t="str">
        <f>IF(C116="","",(_xlfn.XLOOKUP(C116,'Loan Out'!A:A,'Loan Out'!H:H)))</f>
        <v/>
      </c>
      <c r="J116" t="str">
        <f>IF(C116="","",(_xlfn.XLOOKUP(C116,'Loan Out'!A:A,'Loan Out'!I:I)))</f>
        <v/>
      </c>
      <c r="K116" t="str">
        <f>IF(C116="","",(_xlfn.XLOOKUP(C116,'Loan Out'!A:A,'Loan Out'!J:J)))</f>
        <v/>
      </c>
      <c r="L116" t="str">
        <f>IF(C116&lt;&gt;"",(SUMIF(Payments!C:C,C116,Payments!G:G)),"")</f>
        <v/>
      </c>
      <c r="M116" t="str">
        <f t="shared" si="7"/>
        <v/>
      </c>
      <c r="N116" t="str">
        <f t="shared" si="8"/>
        <v/>
      </c>
      <c r="O116" t="str">
        <f t="shared" si="9"/>
        <v/>
      </c>
      <c r="P116" s="1" t="str">
        <f>IF(B116&lt;&gt;"",(IF((_xlfn.XLOOKUP(C116,'Loan Out'!A:A,'Loan Out'!L:L))="Bad debt","Bad debt",IF(M116&gt;0,"Pending","Settled"))),"")</f>
        <v/>
      </c>
    </row>
    <row r="117" spans="1:16">
      <c r="A117" t="str">
        <f t="shared" si="5"/>
        <v/>
      </c>
      <c r="C117" t="str">
        <f t="shared" si="6"/>
        <v/>
      </c>
      <c r="D117" t="str">
        <f>IF(C117="","",(_xlfn.XLOOKUP(C117,'Loan Out'!A:A,'Loan Out'!J:J)))</f>
        <v/>
      </c>
      <c r="E117" t="str">
        <f>IF(C117="","",(_xlfn.XLOOKUP(C117,'Loan Out'!A:A,'Loan Out'!D:D)))</f>
        <v/>
      </c>
      <c r="F117" t="str">
        <f>IF(C117="","",(_xlfn.XLOOKUP(C117,'Loan Out'!A:A,'Loan Out'!E:E)))</f>
        <v/>
      </c>
      <c r="G117" t="str">
        <f>IF(C117="","",(_xlfn.XLOOKUP(C117,'Loan Out'!A:A,'Loan Out'!F:F)))</f>
        <v/>
      </c>
      <c r="H117" t="str">
        <f>IF(C117="","",(_xlfn.XLOOKUP(C117,'Loan Out'!A:A,'Loan Out'!G:G)))</f>
        <v/>
      </c>
      <c r="I117" t="str">
        <f>IF(C117="","",(_xlfn.XLOOKUP(C117,'Loan Out'!A:A,'Loan Out'!H:H)))</f>
        <v/>
      </c>
      <c r="J117" t="str">
        <f>IF(C117="","",(_xlfn.XLOOKUP(C117,'Loan Out'!A:A,'Loan Out'!I:I)))</f>
        <v/>
      </c>
      <c r="K117" t="str">
        <f>IF(C117="","",(_xlfn.XLOOKUP(C117,'Loan Out'!A:A,'Loan Out'!J:J)))</f>
        <v/>
      </c>
      <c r="L117" t="str">
        <f>IF(C117&lt;&gt;"",(SUMIF(Payments!C:C,C117,Payments!G:G)),"")</f>
        <v/>
      </c>
      <c r="M117" t="str">
        <f t="shared" si="7"/>
        <v/>
      </c>
      <c r="N117" t="str">
        <f t="shared" si="8"/>
        <v/>
      </c>
      <c r="O117" t="str">
        <f t="shared" si="9"/>
        <v/>
      </c>
      <c r="P117" s="1" t="str">
        <f>IF(B117&lt;&gt;"",(IF((_xlfn.XLOOKUP(C117,'Loan Out'!A:A,'Loan Out'!L:L))="Bad debt","Bad debt",IF(M117&gt;0,"Pending","Settled"))),"")</f>
        <v/>
      </c>
    </row>
    <row r="118" spans="1:16">
      <c r="A118" t="str">
        <f t="shared" si="5"/>
        <v/>
      </c>
      <c r="C118" t="str">
        <f t="shared" si="6"/>
        <v/>
      </c>
      <c r="D118" t="str">
        <f>IF(C118="","",(_xlfn.XLOOKUP(C118,'Loan Out'!A:A,'Loan Out'!J:J)))</f>
        <v/>
      </c>
      <c r="E118" t="str">
        <f>IF(C118="","",(_xlfn.XLOOKUP(C118,'Loan Out'!A:A,'Loan Out'!D:D)))</f>
        <v/>
      </c>
      <c r="F118" t="str">
        <f>IF(C118="","",(_xlfn.XLOOKUP(C118,'Loan Out'!A:A,'Loan Out'!E:E)))</f>
        <v/>
      </c>
      <c r="G118" t="str">
        <f>IF(C118="","",(_xlfn.XLOOKUP(C118,'Loan Out'!A:A,'Loan Out'!F:F)))</f>
        <v/>
      </c>
      <c r="H118" t="str">
        <f>IF(C118="","",(_xlfn.XLOOKUP(C118,'Loan Out'!A:A,'Loan Out'!G:G)))</f>
        <v/>
      </c>
      <c r="I118" t="str">
        <f>IF(C118="","",(_xlfn.XLOOKUP(C118,'Loan Out'!A:A,'Loan Out'!H:H)))</f>
        <v/>
      </c>
      <c r="J118" t="str">
        <f>IF(C118="","",(_xlfn.XLOOKUP(C118,'Loan Out'!A:A,'Loan Out'!I:I)))</f>
        <v/>
      </c>
      <c r="K118" t="str">
        <f>IF(C118="","",(_xlfn.XLOOKUP(C118,'Loan Out'!A:A,'Loan Out'!J:J)))</f>
        <v/>
      </c>
      <c r="L118" t="str">
        <f>IF(C118&lt;&gt;"",(SUMIF(Payments!C:C,C118,Payments!G:G)),"")</f>
        <v/>
      </c>
      <c r="M118" t="str">
        <f t="shared" si="7"/>
        <v/>
      </c>
      <c r="N118" t="str">
        <f t="shared" si="8"/>
        <v/>
      </c>
      <c r="O118" t="str">
        <f t="shared" si="9"/>
        <v/>
      </c>
      <c r="P118" s="1" t="str">
        <f>IF(B118&lt;&gt;"",(IF((_xlfn.XLOOKUP(C118,'Loan Out'!A:A,'Loan Out'!L:L))="Bad debt","Bad debt",IF(M118&gt;0,"Pending","Settled"))),"")</f>
        <v/>
      </c>
    </row>
    <row r="119" spans="1:16">
      <c r="A119" t="str">
        <f t="shared" si="5"/>
        <v/>
      </c>
      <c r="C119" t="str">
        <f t="shared" si="6"/>
        <v/>
      </c>
      <c r="D119" t="str">
        <f>IF(C119="","",(_xlfn.XLOOKUP(C119,'Loan Out'!A:A,'Loan Out'!J:J)))</f>
        <v/>
      </c>
      <c r="E119" t="str">
        <f>IF(C119="","",(_xlfn.XLOOKUP(C119,'Loan Out'!A:A,'Loan Out'!D:D)))</f>
        <v/>
      </c>
      <c r="F119" t="str">
        <f>IF(C119="","",(_xlfn.XLOOKUP(C119,'Loan Out'!A:A,'Loan Out'!E:E)))</f>
        <v/>
      </c>
      <c r="G119" t="str">
        <f>IF(C119="","",(_xlfn.XLOOKUP(C119,'Loan Out'!A:A,'Loan Out'!F:F)))</f>
        <v/>
      </c>
      <c r="H119" t="str">
        <f>IF(C119="","",(_xlfn.XLOOKUP(C119,'Loan Out'!A:A,'Loan Out'!G:G)))</f>
        <v/>
      </c>
      <c r="I119" t="str">
        <f>IF(C119="","",(_xlfn.XLOOKUP(C119,'Loan Out'!A:A,'Loan Out'!H:H)))</f>
        <v/>
      </c>
      <c r="J119" t="str">
        <f>IF(C119="","",(_xlfn.XLOOKUP(C119,'Loan Out'!A:A,'Loan Out'!I:I)))</f>
        <v/>
      </c>
      <c r="K119" t="str">
        <f>IF(C119="","",(_xlfn.XLOOKUP(C119,'Loan Out'!A:A,'Loan Out'!J:J)))</f>
        <v/>
      </c>
      <c r="L119" t="str">
        <f>IF(C119&lt;&gt;"",(SUMIF(Payments!C:C,C119,Payments!G:G)),"")</f>
        <v/>
      </c>
      <c r="M119" t="str">
        <f t="shared" si="7"/>
        <v/>
      </c>
      <c r="N119" t="str">
        <f t="shared" si="8"/>
        <v/>
      </c>
      <c r="O119" t="str">
        <f t="shared" si="9"/>
        <v/>
      </c>
      <c r="P119" s="1" t="str">
        <f>IF(B119&lt;&gt;"",(IF((_xlfn.XLOOKUP(C119,'Loan Out'!A:A,'Loan Out'!L:L))="Bad debt","Bad debt",IF(M119&gt;0,"Pending","Settled"))),"")</f>
        <v/>
      </c>
    </row>
    <row r="120" spans="1:16">
      <c r="A120" t="str">
        <f t="shared" si="5"/>
        <v/>
      </c>
      <c r="C120" t="str">
        <f t="shared" si="6"/>
        <v/>
      </c>
      <c r="D120" t="str">
        <f>IF(C120="","",(_xlfn.XLOOKUP(C120,'Loan Out'!A:A,'Loan Out'!J:J)))</f>
        <v/>
      </c>
      <c r="E120" t="str">
        <f>IF(C120="","",(_xlfn.XLOOKUP(C120,'Loan Out'!A:A,'Loan Out'!D:D)))</f>
        <v/>
      </c>
      <c r="F120" t="str">
        <f>IF(C120="","",(_xlfn.XLOOKUP(C120,'Loan Out'!A:A,'Loan Out'!E:E)))</f>
        <v/>
      </c>
      <c r="G120" t="str">
        <f>IF(C120="","",(_xlfn.XLOOKUP(C120,'Loan Out'!A:A,'Loan Out'!F:F)))</f>
        <v/>
      </c>
      <c r="H120" t="str">
        <f>IF(C120="","",(_xlfn.XLOOKUP(C120,'Loan Out'!A:A,'Loan Out'!G:G)))</f>
        <v/>
      </c>
      <c r="I120" t="str">
        <f>IF(C120="","",(_xlfn.XLOOKUP(C120,'Loan Out'!A:A,'Loan Out'!H:H)))</f>
        <v/>
      </c>
      <c r="J120" t="str">
        <f>IF(C120="","",(_xlfn.XLOOKUP(C120,'Loan Out'!A:A,'Loan Out'!I:I)))</f>
        <v/>
      </c>
      <c r="K120" t="str">
        <f>IF(C120="","",(_xlfn.XLOOKUP(C120,'Loan Out'!A:A,'Loan Out'!J:J)))</f>
        <v/>
      </c>
      <c r="L120" t="str">
        <f>IF(C120&lt;&gt;"",(SUMIF(Payments!C:C,C120,Payments!G:G)),"")</f>
        <v/>
      </c>
      <c r="M120" t="str">
        <f t="shared" si="7"/>
        <v/>
      </c>
      <c r="N120" t="str">
        <f t="shared" si="8"/>
        <v/>
      </c>
      <c r="O120" t="str">
        <f t="shared" si="9"/>
        <v/>
      </c>
      <c r="P120" s="1" t="str">
        <f>IF(B120&lt;&gt;"",(IF((_xlfn.XLOOKUP(C120,'Loan Out'!A:A,'Loan Out'!L:L))="Bad debt","Bad debt",IF(M120&gt;0,"Pending","Settled"))),"")</f>
        <v/>
      </c>
    </row>
    <row r="121" spans="1:16">
      <c r="A121" t="str">
        <f t="shared" si="5"/>
        <v/>
      </c>
      <c r="C121" t="str">
        <f t="shared" si="6"/>
        <v/>
      </c>
      <c r="D121" t="str">
        <f>IF(C121="","",(_xlfn.XLOOKUP(C121,'Loan Out'!A:A,'Loan Out'!J:J)))</f>
        <v/>
      </c>
      <c r="E121" t="str">
        <f>IF(C121="","",(_xlfn.XLOOKUP(C121,'Loan Out'!A:A,'Loan Out'!D:D)))</f>
        <v/>
      </c>
      <c r="F121" t="str">
        <f>IF(C121="","",(_xlfn.XLOOKUP(C121,'Loan Out'!A:A,'Loan Out'!E:E)))</f>
        <v/>
      </c>
      <c r="G121" t="str">
        <f>IF(C121="","",(_xlfn.XLOOKUP(C121,'Loan Out'!A:A,'Loan Out'!F:F)))</f>
        <v/>
      </c>
      <c r="H121" t="str">
        <f>IF(C121="","",(_xlfn.XLOOKUP(C121,'Loan Out'!A:A,'Loan Out'!G:G)))</f>
        <v/>
      </c>
      <c r="I121" t="str">
        <f>IF(C121="","",(_xlfn.XLOOKUP(C121,'Loan Out'!A:A,'Loan Out'!H:H)))</f>
        <v/>
      </c>
      <c r="J121" t="str">
        <f>IF(C121="","",(_xlfn.XLOOKUP(C121,'Loan Out'!A:A,'Loan Out'!I:I)))</f>
        <v/>
      </c>
      <c r="K121" t="str">
        <f>IF(C121="","",(_xlfn.XLOOKUP(C121,'Loan Out'!A:A,'Loan Out'!J:J)))</f>
        <v/>
      </c>
      <c r="L121" t="str">
        <f>IF(C121&lt;&gt;"",(SUMIF(Payments!C:C,C121,Payments!G:G)),"")</f>
        <v/>
      </c>
      <c r="M121" t="str">
        <f t="shared" si="7"/>
        <v/>
      </c>
      <c r="N121" t="str">
        <f t="shared" si="8"/>
        <v/>
      </c>
      <c r="O121" t="str">
        <f t="shared" si="9"/>
        <v/>
      </c>
      <c r="P121" s="1" t="str">
        <f>IF(B121&lt;&gt;"",(IF((_xlfn.XLOOKUP(C121,'Loan Out'!A:A,'Loan Out'!L:L))="Bad debt","Bad debt",IF(M121&gt;0,"Pending","Settled"))),"")</f>
        <v/>
      </c>
    </row>
    <row r="122" spans="1:16">
      <c r="A122" t="str">
        <f t="shared" si="5"/>
        <v/>
      </c>
      <c r="C122" t="str">
        <f t="shared" si="6"/>
        <v/>
      </c>
      <c r="D122" t="str">
        <f>IF(C122="","",(_xlfn.XLOOKUP(C122,'Loan Out'!A:A,'Loan Out'!J:J)))</f>
        <v/>
      </c>
      <c r="E122" t="str">
        <f>IF(C122="","",(_xlfn.XLOOKUP(C122,'Loan Out'!A:A,'Loan Out'!D:D)))</f>
        <v/>
      </c>
      <c r="F122" t="str">
        <f>IF(C122="","",(_xlfn.XLOOKUP(C122,'Loan Out'!A:A,'Loan Out'!E:E)))</f>
        <v/>
      </c>
      <c r="G122" t="str">
        <f>IF(C122="","",(_xlfn.XLOOKUP(C122,'Loan Out'!A:A,'Loan Out'!F:F)))</f>
        <v/>
      </c>
      <c r="H122" t="str">
        <f>IF(C122="","",(_xlfn.XLOOKUP(C122,'Loan Out'!A:A,'Loan Out'!G:G)))</f>
        <v/>
      </c>
      <c r="I122" t="str">
        <f>IF(C122="","",(_xlfn.XLOOKUP(C122,'Loan Out'!A:A,'Loan Out'!H:H)))</f>
        <v/>
      </c>
      <c r="J122" t="str">
        <f>IF(C122="","",(_xlfn.XLOOKUP(C122,'Loan Out'!A:A,'Loan Out'!I:I)))</f>
        <v/>
      </c>
      <c r="K122" t="str">
        <f>IF(C122="","",(_xlfn.XLOOKUP(C122,'Loan Out'!A:A,'Loan Out'!J:J)))</f>
        <v/>
      </c>
      <c r="L122" t="str">
        <f>IF(C122&lt;&gt;"",(SUMIF(Payments!C:C,C122,Payments!G:G)),"")</f>
        <v/>
      </c>
      <c r="M122" t="str">
        <f t="shared" si="7"/>
        <v/>
      </c>
      <c r="N122" t="str">
        <f t="shared" si="8"/>
        <v/>
      </c>
      <c r="O122" t="str">
        <f t="shared" si="9"/>
        <v/>
      </c>
      <c r="P122" s="1" t="str">
        <f>IF(B122&lt;&gt;"",(IF((_xlfn.XLOOKUP(C122,'Loan Out'!A:A,'Loan Out'!L:L))="Bad debt","Bad debt",IF(M122&gt;0,"Pending","Settled"))),"")</f>
        <v/>
      </c>
    </row>
    <row r="123" spans="1:16">
      <c r="A123" t="str">
        <f t="shared" si="5"/>
        <v/>
      </c>
      <c r="C123" t="str">
        <f t="shared" si="6"/>
        <v/>
      </c>
      <c r="D123" t="str">
        <f>IF(C123="","",(_xlfn.XLOOKUP(C123,'Loan Out'!A:A,'Loan Out'!J:J)))</f>
        <v/>
      </c>
      <c r="E123" t="str">
        <f>IF(C123="","",(_xlfn.XLOOKUP(C123,'Loan Out'!A:A,'Loan Out'!D:D)))</f>
        <v/>
      </c>
      <c r="F123" t="str">
        <f>IF(C123="","",(_xlfn.XLOOKUP(C123,'Loan Out'!A:A,'Loan Out'!E:E)))</f>
        <v/>
      </c>
      <c r="G123" t="str">
        <f>IF(C123="","",(_xlfn.XLOOKUP(C123,'Loan Out'!A:A,'Loan Out'!F:F)))</f>
        <v/>
      </c>
      <c r="H123" t="str">
        <f>IF(C123="","",(_xlfn.XLOOKUP(C123,'Loan Out'!A:A,'Loan Out'!G:G)))</f>
        <v/>
      </c>
      <c r="I123" t="str">
        <f>IF(C123="","",(_xlfn.XLOOKUP(C123,'Loan Out'!A:A,'Loan Out'!H:H)))</f>
        <v/>
      </c>
      <c r="J123" t="str">
        <f>IF(C123="","",(_xlfn.XLOOKUP(C123,'Loan Out'!A:A,'Loan Out'!I:I)))</f>
        <v/>
      </c>
      <c r="K123" t="str">
        <f>IF(C123="","",(_xlfn.XLOOKUP(C123,'Loan Out'!A:A,'Loan Out'!J:J)))</f>
        <v/>
      </c>
      <c r="L123" t="str">
        <f>IF(C123&lt;&gt;"",(SUMIF(Payments!C:C,C123,Payments!G:G)),"")</f>
        <v/>
      </c>
      <c r="M123" t="str">
        <f t="shared" si="7"/>
        <v/>
      </c>
      <c r="N123" t="str">
        <f t="shared" si="8"/>
        <v/>
      </c>
      <c r="O123" t="str">
        <f t="shared" si="9"/>
        <v/>
      </c>
      <c r="P123" s="1" t="str">
        <f>IF(B123&lt;&gt;"",(IF((_xlfn.XLOOKUP(C123,'Loan Out'!A:A,'Loan Out'!L:L))="Bad debt","Bad debt",IF(M123&gt;0,"Pending","Settled"))),"")</f>
        <v/>
      </c>
    </row>
    <row r="124" spans="1:16">
      <c r="A124" t="str">
        <f t="shared" si="5"/>
        <v/>
      </c>
      <c r="C124" t="str">
        <f t="shared" si="6"/>
        <v/>
      </c>
      <c r="D124" t="str">
        <f>IF(C124="","",(_xlfn.XLOOKUP(C124,'Loan Out'!A:A,'Loan Out'!J:J)))</f>
        <v/>
      </c>
      <c r="E124" t="str">
        <f>IF(C124="","",(_xlfn.XLOOKUP(C124,'Loan Out'!A:A,'Loan Out'!D:D)))</f>
        <v/>
      </c>
      <c r="F124" t="str">
        <f>IF(C124="","",(_xlfn.XLOOKUP(C124,'Loan Out'!A:A,'Loan Out'!E:E)))</f>
        <v/>
      </c>
      <c r="G124" t="str">
        <f>IF(C124="","",(_xlfn.XLOOKUP(C124,'Loan Out'!A:A,'Loan Out'!F:F)))</f>
        <v/>
      </c>
      <c r="H124" t="str">
        <f>IF(C124="","",(_xlfn.XLOOKUP(C124,'Loan Out'!A:A,'Loan Out'!G:G)))</f>
        <v/>
      </c>
      <c r="I124" t="str">
        <f>IF(C124="","",(_xlfn.XLOOKUP(C124,'Loan Out'!A:A,'Loan Out'!H:H)))</f>
        <v/>
      </c>
      <c r="J124" t="str">
        <f>IF(C124="","",(_xlfn.XLOOKUP(C124,'Loan Out'!A:A,'Loan Out'!I:I)))</f>
        <v/>
      </c>
      <c r="K124" t="str">
        <f>IF(C124="","",(_xlfn.XLOOKUP(C124,'Loan Out'!A:A,'Loan Out'!J:J)))</f>
        <v/>
      </c>
      <c r="L124" t="str">
        <f>IF(C124&lt;&gt;"",(SUMIF(Payments!C:C,C124,Payments!G:G)),"")</f>
        <v/>
      </c>
      <c r="M124" t="str">
        <f t="shared" si="7"/>
        <v/>
      </c>
      <c r="N124" t="str">
        <f t="shared" si="8"/>
        <v/>
      </c>
      <c r="O124" t="str">
        <f t="shared" si="9"/>
        <v/>
      </c>
      <c r="P124" s="1" t="str">
        <f>IF(B124&lt;&gt;"",(IF((_xlfn.XLOOKUP(C124,'Loan Out'!A:A,'Loan Out'!L:L))="Bad debt","Bad debt",IF(M124&gt;0,"Pending","Settled"))),"")</f>
        <v/>
      </c>
    </row>
    <row r="125" spans="1:16">
      <c r="A125" t="str">
        <f t="shared" si="5"/>
        <v/>
      </c>
      <c r="C125" t="str">
        <f t="shared" si="6"/>
        <v/>
      </c>
      <c r="D125" t="str">
        <f>IF(C125="","",(_xlfn.XLOOKUP(C125,'Loan Out'!A:A,'Loan Out'!J:J)))</f>
        <v/>
      </c>
      <c r="E125" t="str">
        <f>IF(C125="","",(_xlfn.XLOOKUP(C125,'Loan Out'!A:A,'Loan Out'!D:D)))</f>
        <v/>
      </c>
      <c r="F125" t="str">
        <f>IF(C125="","",(_xlfn.XLOOKUP(C125,'Loan Out'!A:A,'Loan Out'!E:E)))</f>
        <v/>
      </c>
      <c r="G125" t="str">
        <f>IF(C125="","",(_xlfn.XLOOKUP(C125,'Loan Out'!A:A,'Loan Out'!F:F)))</f>
        <v/>
      </c>
      <c r="H125" t="str">
        <f>IF(C125="","",(_xlfn.XLOOKUP(C125,'Loan Out'!A:A,'Loan Out'!G:G)))</f>
        <v/>
      </c>
      <c r="I125" t="str">
        <f>IF(C125="","",(_xlfn.XLOOKUP(C125,'Loan Out'!A:A,'Loan Out'!H:H)))</f>
        <v/>
      </c>
      <c r="J125" t="str">
        <f>IF(C125="","",(_xlfn.XLOOKUP(C125,'Loan Out'!A:A,'Loan Out'!I:I)))</f>
        <v/>
      </c>
      <c r="K125" t="str">
        <f>IF(C125="","",(_xlfn.XLOOKUP(C125,'Loan Out'!A:A,'Loan Out'!J:J)))</f>
        <v/>
      </c>
      <c r="L125" t="str">
        <f>IF(C125&lt;&gt;"",(SUMIF(Payments!C:C,C125,Payments!G:G)),"")</f>
        <v/>
      </c>
      <c r="M125" t="str">
        <f t="shared" si="7"/>
        <v/>
      </c>
      <c r="N125" t="str">
        <f t="shared" si="8"/>
        <v/>
      </c>
      <c r="O125" t="str">
        <f t="shared" si="9"/>
        <v/>
      </c>
      <c r="P125" s="1" t="str">
        <f>IF(B125&lt;&gt;"",(IF((_xlfn.XLOOKUP(C125,'Loan Out'!A:A,'Loan Out'!L:L))="Bad debt","Bad debt",IF(M125&gt;0,"Pending","Settled"))),"")</f>
        <v/>
      </c>
    </row>
    <row r="126" spans="1:16">
      <c r="A126" t="str">
        <f t="shared" si="5"/>
        <v/>
      </c>
      <c r="C126" t="str">
        <f t="shared" si="6"/>
        <v/>
      </c>
      <c r="D126" t="str">
        <f>IF(C126="","",(_xlfn.XLOOKUP(C126,'Loan Out'!A:A,'Loan Out'!J:J)))</f>
        <v/>
      </c>
      <c r="E126" t="str">
        <f>IF(C126="","",(_xlfn.XLOOKUP(C126,'Loan Out'!A:A,'Loan Out'!D:D)))</f>
        <v/>
      </c>
      <c r="F126" t="str">
        <f>IF(C126="","",(_xlfn.XLOOKUP(C126,'Loan Out'!A:A,'Loan Out'!E:E)))</f>
        <v/>
      </c>
      <c r="G126" t="str">
        <f>IF(C126="","",(_xlfn.XLOOKUP(C126,'Loan Out'!A:A,'Loan Out'!F:F)))</f>
        <v/>
      </c>
      <c r="H126" t="str">
        <f>IF(C126="","",(_xlfn.XLOOKUP(C126,'Loan Out'!A:A,'Loan Out'!G:G)))</f>
        <v/>
      </c>
      <c r="I126" t="str">
        <f>IF(C126="","",(_xlfn.XLOOKUP(C126,'Loan Out'!A:A,'Loan Out'!H:H)))</f>
        <v/>
      </c>
      <c r="J126" t="str">
        <f>IF(C126="","",(_xlfn.XLOOKUP(C126,'Loan Out'!A:A,'Loan Out'!I:I)))</f>
        <v/>
      </c>
      <c r="K126" t="str">
        <f>IF(C126="","",(_xlfn.XLOOKUP(C126,'Loan Out'!A:A,'Loan Out'!J:J)))</f>
        <v/>
      </c>
      <c r="L126" t="str">
        <f>IF(C126&lt;&gt;"",(SUMIF(Payments!C:C,C126,Payments!G:G)),"")</f>
        <v/>
      </c>
      <c r="M126" t="str">
        <f t="shared" si="7"/>
        <v/>
      </c>
      <c r="N126" t="str">
        <f t="shared" si="8"/>
        <v/>
      </c>
      <c r="O126" t="str">
        <f t="shared" si="9"/>
        <v/>
      </c>
      <c r="P126" s="1" t="str">
        <f>IF(B126&lt;&gt;"",(IF((_xlfn.XLOOKUP(C126,'Loan Out'!A:A,'Loan Out'!L:L))="Bad debt","Bad debt",IF(M126&gt;0,"Pending","Settled"))),"")</f>
        <v/>
      </c>
    </row>
    <row r="127" spans="1:16">
      <c r="A127" t="str">
        <f t="shared" si="5"/>
        <v/>
      </c>
      <c r="C127" t="str">
        <f t="shared" si="6"/>
        <v/>
      </c>
      <c r="D127" t="str">
        <f>IF(C127="","",(_xlfn.XLOOKUP(C127,'Loan Out'!A:A,'Loan Out'!J:J)))</f>
        <v/>
      </c>
      <c r="E127" t="str">
        <f>IF(C127="","",(_xlfn.XLOOKUP(C127,'Loan Out'!A:A,'Loan Out'!D:D)))</f>
        <v/>
      </c>
      <c r="F127" t="str">
        <f>IF(C127="","",(_xlfn.XLOOKUP(C127,'Loan Out'!A:A,'Loan Out'!E:E)))</f>
        <v/>
      </c>
      <c r="G127" t="str">
        <f>IF(C127="","",(_xlfn.XLOOKUP(C127,'Loan Out'!A:A,'Loan Out'!F:F)))</f>
        <v/>
      </c>
      <c r="H127" t="str">
        <f>IF(C127="","",(_xlfn.XLOOKUP(C127,'Loan Out'!A:A,'Loan Out'!G:G)))</f>
        <v/>
      </c>
      <c r="I127" t="str">
        <f>IF(C127="","",(_xlfn.XLOOKUP(C127,'Loan Out'!A:A,'Loan Out'!H:H)))</f>
        <v/>
      </c>
      <c r="J127" t="str">
        <f>IF(C127="","",(_xlfn.XLOOKUP(C127,'Loan Out'!A:A,'Loan Out'!I:I)))</f>
        <v/>
      </c>
      <c r="K127" t="str">
        <f>IF(C127="","",(_xlfn.XLOOKUP(C127,'Loan Out'!A:A,'Loan Out'!J:J)))</f>
        <v/>
      </c>
      <c r="L127" t="str">
        <f>IF(C127&lt;&gt;"",(SUMIF(Payments!C:C,C127,Payments!G:G)),"")</f>
        <v/>
      </c>
      <c r="M127" t="str">
        <f t="shared" si="7"/>
        <v/>
      </c>
      <c r="N127" t="str">
        <f t="shared" si="8"/>
        <v/>
      </c>
      <c r="O127" t="str">
        <f t="shared" si="9"/>
        <v/>
      </c>
      <c r="P127" s="1" t="str">
        <f>IF(B127&lt;&gt;"",(IF((_xlfn.XLOOKUP(C127,'Loan Out'!A:A,'Loan Out'!L:L))="Bad debt","Bad debt",IF(M127&gt;0,"Pending","Settled"))),"")</f>
        <v/>
      </c>
    </row>
    <row r="128" spans="1:16">
      <c r="A128" t="str">
        <f t="shared" si="5"/>
        <v/>
      </c>
      <c r="C128" t="str">
        <f t="shared" si="6"/>
        <v/>
      </c>
      <c r="D128" t="str">
        <f>IF(C128="","",(_xlfn.XLOOKUP(C128,'Loan Out'!A:A,'Loan Out'!J:J)))</f>
        <v/>
      </c>
      <c r="E128" t="str">
        <f>IF(C128="","",(_xlfn.XLOOKUP(C128,'Loan Out'!A:A,'Loan Out'!D:D)))</f>
        <v/>
      </c>
      <c r="F128" t="str">
        <f>IF(C128="","",(_xlfn.XLOOKUP(C128,'Loan Out'!A:A,'Loan Out'!E:E)))</f>
        <v/>
      </c>
      <c r="G128" t="str">
        <f>IF(C128="","",(_xlfn.XLOOKUP(C128,'Loan Out'!A:A,'Loan Out'!F:F)))</f>
        <v/>
      </c>
      <c r="H128" t="str">
        <f>IF(C128="","",(_xlfn.XLOOKUP(C128,'Loan Out'!A:A,'Loan Out'!G:G)))</f>
        <v/>
      </c>
      <c r="I128" t="str">
        <f>IF(C128="","",(_xlfn.XLOOKUP(C128,'Loan Out'!A:A,'Loan Out'!H:H)))</f>
        <v/>
      </c>
      <c r="J128" t="str">
        <f>IF(C128="","",(_xlfn.XLOOKUP(C128,'Loan Out'!A:A,'Loan Out'!I:I)))</f>
        <v/>
      </c>
      <c r="K128" t="str">
        <f>IF(C128="","",(_xlfn.XLOOKUP(C128,'Loan Out'!A:A,'Loan Out'!J:J)))</f>
        <v/>
      </c>
      <c r="L128" t="str">
        <f>IF(C128&lt;&gt;"",(SUMIF(Payments!C:C,C128,Payments!G:G)),"")</f>
        <v/>
      </c>
      <c r="M128" t="str">
        <f t="shared" si="7"/>
        <v/>
      </c>
      <c r="N128" t="str">
        <f t="shared" si="8"/>
        <v/>
      </c>
      <c r="O128" t="str">
        <f t="shared" si="9"/>
        <v/>
      </c>
      <c r="P128" s="1" t="str">
        <f>IF(B128&lt;&gt;"",(IF((_xlfn.XLOOKUP(C128,'Loan Out'!A:A,'Loan Out'!L:L))="Bad debt","Bad debt",IF(M128&gt;0,"Pending","Settled"))),"")</f>
        <v/>
      </c>
    </row>
    <row r="129" spans="1:16">
      <c r="A129" t="str">
        <f t="shared" si="5"/>
        <v/>
      </c>
      <c r="C129" t="str">
        <f t="shared" si="6"/>
        <v/>
      </c>
      <c r="D129" t="str">
        <f>IF(C129="","",(_xlfn.XLOOKUP(C129,'Loan Out'!A:A,'Loan Out'!J:J)))</f>
        <v/>
      </c>
      <c r="E129" t="str">
        <f>IF(C129="","",(_xlfn.XLOOKUP(C129,'Loan Out'!A:A,'Loan Out'!D:D)))</f>
        <v/>
      </c>
      <c r="F129" t="str">
        <f>IF(C129="","",(_xlfn.XLOOKUP(C129,'Loan Out'!A:A,'Loan Out'!E:E)))</f>
        <v/>
      </c>
      <c r="G129" t="str">
        <f>IF(C129="","",(_xlfn.XLOOKUP(C129,'Loan Out'!A:A,'Loan Out'!F:F)))</f>
        <v/>
      </c>
      <c r="H129" t="str">
        <f>IF(C129="","",(_xlfn.XLOOKUP(C129,'Loan Out'!A:A,'Loan Out'!G:G)))</f>
        <v/>
      </c>
      <c r="I129" t="str">
        <f>IF(C129="","",(_xlfn.XLOOKUP(C129,'Loan Out'!A:A,'Loan Out'!H:H)))</f>
        <v/>
      </c>
      <c r="J129" t="str">
        <f>IF(C129="","",(_xlfn.XLOOKUP(C129,'Loan Out'!A:A,'Loan Out'!I:I)))</f>
        <v/>
      </c>
      <c r="K129" t="str">
        <f>IF(C129="","",(_xlfn.XLOOKUP(C129,'Loan Out'!A:A,'Loan Out'!J:J)))</f>
        <v/>
      </c>
      <c r="L129" t="str">
        <f>IF(C129&lt;&gt;"",(SUMIF(Payments!C:C,C129,Payments!G:G)),"")</f>
        <v/>
      </c>
      <c r="M129" t="str">
        <f t="shared" si="7"/>
        <v/>
      </c>
      <c r="N129" t="str">
        <f t="shared" si="8"/>
        <v/>
      </c>
      <c r="O129" t="str">
        <f t="shared" si="9"/>
        <v/>
      </c>
      <c r="P129" s="1" t="str">
        <f>IF(B129&lt;&gt;"",(IF((_xlfn.XLOOKUP(C129,'Loan Out'!A:A,'Loan Out'!L:L))="Bad debt","Bad debt",IF(M129&gt;0,"Pending","Settled"))),"")</f>
        <v/>
      </c>
    </row>
    <row r="130" spans="1:16">
      <c r="A130" t="str">
        <f t="shared" si="5"/>
        <v/>
      </c>
      <c r="C130" t="str">
        <f t="shared" si="6"/>
        <v/>
      </c>
      <c r="D130" t="str">
        <f>IF(C130="","",(_xlfn.XLOOKUP(C130,'Loan Out'!A:A,'Loan Out'!J:J)))</f>
        <v/>
      </c>
      <c r="E130" t="str">
        <f>IF(C130="","",(_xlfn.XLOOKUP(C130,'Loan Out'!A:A,'Loan Out'!D:D)))</f>
        <v/>
      </c>
      <c r="F130" t="str">
        <f>IF(C130="","",(_xlfn.XLOOKUP(C130,'Loan Out'!A:A,'Loan Out'!E:E)))</f>
        <v/>
      </c>
      <c r="G130" t="str">
        <f>IF(C130="","",(_xlfn.XLOOKUP(C130,'Loan Out'!A:A,'Loan Out'!F:F)))</f>
        <v/>
      </c>
      <c r="H130" t="str">
        <f>IF(C130="","",(_xlfn.XLOOKUP(C130,'Loan Out'!A:A,'Loan Out'!G:G)))</f>
        <v/>
      </c>
      <c r="I130" t="str">
        <f>IF(C130="","",(_xlfn.XLOOKUP(C130,'Loan Out'!A:A,'Loan Out'!H:H)))</f>
        <v/>
      </c>
      <c r="J130" t="str">
        <f>IF(C130="","",(_xlfn.XLOOKUP(C130,'Loan Out'!A:A,'Loan Out'!I:I)))</f>
        <v/>
      </c>
      <c r="K130" t="str">
        <f>IF(C130="","",(_xlfn.XLOOKUP(C130,'Loan Out'!A:A,'Loan Out'!J:J)))</f>
        <v/>
      </c>
      <c r="L130" t="str">
        <f>IF(C130&lt;&gt;"",(SUMIF(Payments!C:C,C130,Payments!G:G)),"")</f>
        <v/>
      </c>
      <c r="M130" t="str">
        <f t="shared" si="7"/>
        <v/>
      </c>
      <c r="N130" t="str">
        <f t="shared" si="8"/>
        <v/>
      </c>
      <c r="O130" t="str">
        <f t="shared" si="9"/>
        <v/>
      </c>
      <c r="P130" s="1" t="str">
        <f>IF(B130&lt;&gt;"",(IF((_xlfn.XLOOKUP(C130,'Loan Out'!A:A,'Loan Out'!L:L))="Bad debt","Bad debt",IF(M130&gt;0,"Pending","Settled"))),"")</f>
        <v/>
      </c>
    </row>
    <row r="131" spans="1:16">
      <c r="A131" t="str">
        <f t="shared" ref="A131:A194" si="10">IF(C131&lt;&gt;"","Entry"&amp;ROW()-1,"")</f>
        <v/>
      </c>
      <c r="C131" t="str">
        <f t="shared" ref="C131:C194" si="11">IF(B131&lt;&gt;"",(LEFT(B131,FIND(" |",B131)-1)),"")</f>
        <v/>
      </c>
      <c r="D131" t="str">
        <f>IF(C131="","",(_xlfn.XLOOKUP(C131,'Loan Out'!A:A,'Loan Out'!J:J)))</f>
        <v/>
      </c>
      <c r="E131" t="str">
        <f>IF(C131="","",(_xlfn.XLOOKUP(C131,'Loan Out'!A:A,'Loan Out'!D:D)))</f>
        <v/>
      </c>
      <c r="F131" t="str">
        <f>IF(C131="","",(_xlfn.XLOOKUP(C131,'Loan Out'!A:A,'Loan Out'!E:E)))</f>
        <v/>
      </c>
      <c r="G131" t="str">
        <f>IF(C131="","",(_xlfn.XLOOKUP(C131,'Loan Out'!A:A,'Loan Out'!F:F)))</f>
        <v/>
      </c>
      <c r="H131" t="str">
        <f>IF(C131="","",(_xlfn.XLOOKUP(C131,'Loan Out'!A:A,'Loan Out'!G:G)))</f>
        <v/>
      </c>
      <c r="I131" t="str">
        <f>IF(C131="","",(_xlfn.XLOOKUP(C131,'Loan Out'!A:A,'Loan Out'!H:H)))</f>
        <v/>
      </c>
      <c r="J131" t="str">
        <f>IF(C131="","",(_xlfn.XLOOKUP(C131,'Loan Out'!A:A,'Loan Out'!I:I)))</f>
        <v/>
      </c>
      <c r="K131" t="str">
        <f>IF(C131="","",(_xlfn.XLOOKUP(C131,'Loan Out'!A:A,'Loan Out'!J:J)))</f>
        <v/>
      </c>
      <c r="L131" t="str">
        <f>IF(C131&lt;&gt;"",(SUMIF(Payments!C:C,C131,Payments!G:G)),"")</f>
        <v/>
      </c>
      <c r="M131" t="str">
        <f t="shared" ref="M131:M194" si="12">IF(C131&lt;&gt;"",(J131-L131),"")</f>
        <v/>
      </c>
      <c r="N131" t="str">
        <f t="shared" ref="N131:N194" si="13">IF(B131&lt;&gt;"",(IF(L131&gt;G131,(L131-G131),0)),"")</f>
        <v/>
      </c>
      <c r="O131" t="str">
        <f t="shared" ref="O131:O194" si="14">IF(B131&lt;&gt;"",(IF(P131="Bad debt",M131,0)),"")</f>
        <v/>
      </c>
      <c r="P131" s="1" t="str">
        <f>IF(B131&lt;&gt;"",(IF((_xlfn.XLOOKUP(C131,'Loan Out'!A:A,'Loan Out'!L:L))="Bad debt","Bad debt",IF(M131&gt;0,"Pending","Settled"))),"")</f>
        <v/>
      </c>
    </row>
    <row r="132" spans="1:16">
      <c r="A132" t="str">
        <f t="shared" si="10"/>
        <v/>
      </c>
      <c r="C132" t="str">
        <f t="shared" si="11"/>
        <v/>
      </c>
      <c r="D132" t="str">
        <f>IF(C132="","",(_xlfn.XLOOKUP(C132,'Loan Out'!A:A,'Loan Out'!J:J)))</f>
        <v/>
      </c>
      <c r="E132" t="str">
        <f>IF(C132="","",(_xlfn.XLOOKUP(C132,'Loan Out'!A:A,'Loan Out'!D:D)))</f>
        <v/>
      </c>
      <c r="F132" t="str">
        <f>IF(C132="","",(_xlfn.XLOOKUP(C132,'Loan Out'!A:A,'Loan Out'!E:E)))</f>
        <v/>
      </c>
      <c r="G132" t="str">
        <f>IF(C132="","",(_xlfn.XLOOKUP(C132,'Loan Out'!A:A,'Loan Out'!F:F)))</f>
        <v/>
      </c>
      <c r="H132" t="str">
        <f>IF(C132="","",(_xlfn.XLOOKUP(C132,'Loan Out'!A:A,'Loan Out'!G:G)))</f>
        <v/>
      </c>
      <c r="I132" t="str">
        <f>IF(C132="","",(_xlfn.XLOOKUP(C132,'Loan Out'!A:A,'Loan Out'!H:H)))</f>
        <v/>
      </c>
      <c r="J132" t="str">
        <f>IF(C132="","",(_xlfn.XLOOKUP(C132,'Loan Out'!A:A,'Loan Out'!I:I)))</f>
        <v/>
      </c>
      <c r="K132" t="str">
        <f>IF(C132="","",(_xlfn.XLOOKUP(C132,'Loan Out'!A:A,'Loan Out'!J:J)))</f>
        <v/>
      </c>
      <c r="L132" t="str">
        <f>IF(C132&lt;&gt;"",(SUMIF(Payments!C:C,C132,Payments!G:G)),"")</f>
        <v/>
      </c>
      <c r="M132" t="str">
        <f t="shared" si="12"/>
        <v/>
      </c>
      <c r="N132" t="str">
        <f t="shared" si="13"/>
        <v/>
      </c>
      <c r="O132" t="str">
        <f t="shared" si="14"/>
        <v/>
      </c>
      <c r="P132" s="1" t="str">
        <f>IF(B132&lt;&gt;"",(IF((_xlfn.XLOOKUP(C132,'Loan Out'!A:A,'Loan Out'!L:L))="Bad debt","Bad debt",IF(M132&gt;0,"Pending","Settled"))),"")</f>
        <v/>
      </c>
    </row>
    <row r="133" spans="1:16">
      <c r="A133" t="str">
        <f t="shared" si="10"/>
        <v/>
      </c>
      <c r="C133" t="str">
        <f t="shared" si="11"/>
        <v/>
      </c>
      <c r="D133" t="str">
        <f>IF(C133="","",(_xlfn.XLOOKUP(C133,'Loan Out'!A:A,'Loan Out'!J:J)))</f>
        <v/>
      </c>
      <c r="E133" t="str">
        <f>IF(C133="","",(_xlfn.XLOOKUP(C133,'Loan Out'!A:A,'Loan Out'!D:D)))</f>
        <v/>
      </c>
      <c r="F133" t="str">
        <f>IF(C133="","",(_xlfn.XLOOKUP(C133,'Loan Out'!A:A,'Loan Out'!E:E)))</f>
        <v/>
      </c>
      <c r="G133" t="str">
        <f>IF(C133="","",(_xlfn.XLOOKUP(C133,'Loan Out'!A:A,'Loan Out'!F:F)))</f>
        <v/>
      </c>
      <c r="H133" t="str">
        <f>IF(C133="","",(_xlfn.XLOOKUP(C133,'Loan Out'!A:A,'Loan Out'!G:G)))</f>
        <v/>
      </c>
      <c r="I133" t="str">
        <f>IF(C133="","",(_xlfn.XLOOKUP(C133,'Loan Out'!A:A,'Loan Out'!H:H)))</f>
        <v/>
      </c>
      <c r="J133" t="str">
        <f>IF(C133="","",(_xlfn.XLOOKUP(C133,'Loan Out'!A:A,'Loan Out'!I:I)))</f>
        <v/>
      </c>
      <c r="K133" t="str">
        <f>IF(C133="","",(_xlfn.XLOOKUP(C133,'Loan Out'!A:A,'Loan Out'!J:J)))</f>
        <v/>
      </c>
      <c r="L133" t="str">
        <f>IF(C133&lt;&gt;"",(SUMIF(Payments!C:C,C133,Payments!G:G)),"")</f>
        <v/>
      </c>
      <c r="M133" t="str">
        <f t="shared" si="12"/>
        <v/>
      </c>
      <c r="N133" t="str">
        <f t="shared" si="13"/>
        <v/>
      </c>
      <c r="O133" t="str">
        <f t="shared" si="14"/>
        <v/>
      </c>
      <c r="P133" s="1" t="str">
        <f>IF(B133&lt;&gt;"",(IF((_xlfn.XLOOKUP(C133,'Loan Out'!A:A,'Loan Out'!L:L))="Bad debt","Bad debt",IF(M133&gt;0,"Pending","Settled"))),"")</f>
        <v/>
      </c>
    </row>
    <row r="134" spans="1:16">
      <c r="A134" t="str">
        <f t="shared" si="10"/>
        <v/>
      </c>
      <c r="C134" t="str">
        <f t="shared" si="11"/>
        <v/>
      </c>
      <c r="D134" t="str">
        <f>IF(C134="","",(_xlfn.XLOOKUP(C134,'Loan Out'!A:A,'Loan Out'!J:J)))</f>
        <v/>
      </c>
      <c r="E134" t="str">
        <f>IF(C134="","",(_xlfn.XLOOKUP(C134,'Loan Out'!A:A,'Loan Out'!D:D)))</f>
        <v/>
      </c>
      <c r="F134" t="str">
        <f>IF(C134="","",(_xlfn.XLOOKUP(C134,'Loan Out'!A:A,'Loan Out'!E:E)))</f>
        <v/>
      </c>
      <c r="G134" t="str">
        <f>IF(C134="","",(_xlfn.XLOOKUP(C134,'Loan Out'!A:A,'Loan Out'!F:F)))</f>
        <v/>
      </c>
      <c r="H134" t="str">
        <f>IF(C134="","",(_xlfn.XLOOKUP(C134,'Loan Out'!A:A,'Loan Out'!G:G)))</f>
        <v/>
      </c>
      <c r="I134" t="str">
        <f>IF(C134="","",(_xlfn.XLOOKUP(C134,'Loan Out'!A:A,'Loan Out'!H:H)))</f>
        <v/>
      </c>
      <c r="J134" t="str">
        <f>IF(C134="","",(_xlfn.XLOOKUP(C134,'Loan Out'!A:A,'Loan Out'!I:I)))</f>
        <v/>
      </c>
      <c r="K134" t="str">
        <f>IF(C134="","",(_xlfn.XLOOKUP(C134,'Loan Out'!A:A,'Loan Out'!J:J)))</f>
        <v/>
      </c>
      <c r="L134" t="str">
        <f>IF(C134&lt;&gt;"",(SUMIF(Payments!C:C,C134,Payments!G:G)),"")</f>
        <v/>
      </c>
      <c r="M134" t="str">
        <f t="shared" si="12"/>
        <v/>
      </c>
      <c r="N134" t="str">
        <f t="shared" si="13"/>
        <v/>
      </c>
      <c r="O134" t="str">
        <f t="shared" si="14"/>
        <v/>
      </c>
      <c r="P134" s="1" t="str">
        <f>IF(B134&lt;&gt;"",(IF((_xlfn.XLOOKUP(C134,'Loan Out'!A:A,'Loan Out'!L:L))="Bad debt","Bad debt",IF(M134&gt;0,"Pending","Settled"))),"")</f>
        <v/>
      </c>
    </row>
    <row r="135" spans="1:16">
      <c r="A135" t="str">
        <f t="shared" si="10"/>
        <v/>
      </c>
      <c r="C135" t="str">
        <f t="shared" si="11"/>
        <v/>
      </c>
      <c r="D135" t="str">
        <f>IF(C135="","",(_xlfn.XLOOKUP(C135,'Loan Out'!A:A,'Loan Out'!J:J)))</f>
        <v/>
      </c>
      <c r="E135" t="str">
        <f>IF(C135="","",(_xlfn.XLOOKUP(C135,'Loan Out'!A:A,'Loan Out'!D:D)))</f>
        <v/>
      </c>
      <c r="F135" t="str">
        <f>IF(C135="","",(_xlfn.XLOOKUP(C135,'Loan Out'!A:A,'Loan Out'!E:E)))</f>
        <v/>
      </c>
      <c r="G135" t="str">
        <f>IF(C135="","",(_xlfn.XLOOKUP(C135,'Loan Out'!A:A,'Loan Out'!F:F)))</f>
        <v/>
      </c>
      <c r="H135" t="str">
        <f>IF(C135="","",(_xlfn.XLOOKUP(C135,'Loan Out'!A:A,'Loan Out'!G:G)))</f>
        <v/>
      </c>
      <c r="I135" t="str">
        <f>IF(C135="","",(_xlfn.XLOOKUP(C135,'Loan Out'!A:A,'Loan Out'!H:H)))</f>
        <v/>
      </c>
      <c r="J135" t="str">
        <f>IF(C135="","",(_xlfn.XLOOKUP(C135,'Loan Out'!A:A,'Loan Out'!I:I)))</f>
        <v/>
      </c>
      <c r="K135" t="str">
        <f>IF(C135="","",(_xlfn.XLOOKUP(C135,'Loan Out'!A:A,'Loan Out'!J:J)))</f>
        <v/>
      </c>
      <c r="L135" t="str">
        <f>IF(C135&lt;&gt;"",(SUMIF(Payments!C:C,C135,Payments!G:G)),"")</f>
        <v/>
      </c>
      <c r="M135" t="str">
        <f t="shared" si="12"/>
        <v/>
      </c>
      <c r="N135" t="str">
        <f t="shared" si="13"/>
        <v/>
      </c>
      <c r="O135" t="str">
        <f t="shared" si="14"/>
        <v/>
      </c>
      <c r="P135" s="1" t="str">
        <f>IF(B135&lt;&gt;"",(IF((_xlfn.XLOOKUP(C135,'Loan Out'!A:A,'Loan Out'!L:L))="Bad debt","Bad debt",IF(M135&gt;0,"Pending","Settled"))),"")</f>
        <v/>
      </c>
    </row>
    <row r="136" spans="1:16">
      <c r="A136" t="str">
        <f t="shared" si="10"/>
        <v/>
      </c>
      <c r="C136" t="str">
        <f t="shared" si="11"/>
        <v/>
      </c>
      <c r="D136" t="str">
        <f>IF(C136="","",(_xlfn.XLOOKUP(C136,'Loan Out'!A:A,'Loan Out'!J:J)))</f>
        <v/>
      </c>
      <c r="E136" t="str">
        <f>IF(C136="","",(_xlfn.XLOOKUP(C136,'Loan Out'!A:A,'Loan Out'!D:D)))</f>
        <v/>
      </c>
      <c r="F136" t="str">
        <f>IF(C136="","",(_xlfn.XLOOKUP(C136,'Loan Out'!A:A,'Loan Out'!E:E)))</f>
        <v/>
      </c>
      <c r="G136" t="str">
        <f>IF(C136="","",(_xlfn.XLOOKUP(C136,'Loan Out'!A:A,'Loan Out'!F:F)))</f>
        <v/>
      </c>
      <c r="H136" t="str">
        <f>IF(C136="","",(_xlfn.XLOOKUP(C136,'Loan Out'!A:A,'Loan Out'!G:G)))</f>
        <v/>
      </c>
      <c r="I136" t="str">
        <f>IF(C136="","",(_xlfn.XLOOKUP(C136,'Loan Out'!A:A,'Loan Out'!H:H)))</f>
        <v/>
      </c>
      <c r="J136" t="str">
        <f>IF(C136="","",(_xlfn.XLOOKUP(C136,'Loan Out'!A:A,'Loan Out'!I:I)))</f>
        <v/>
      </c>
      <c r="K136" t="str">
        <f>IF(C136="","",(_xlfn.XLOOKUP(C136,'Loan Out'!A:A,'Loan Out'!J:J)))</f>
        <v/>
      </c>
      <c r="L136" t="str">
        <f>IF(C136&lt;&gt;"",(SUMIF(Payments!C:C,C136,Payments!G:G)),"")</f>
        <v/>
      </c>
      <c r="M136" t="str">
        <f t="shared" si="12"/>
        <v/>
      </c>
      <c r="N136" t="str">
        <f t="shared" si="13"/>
        <v/>
      </c>
      <c r="O136" t="str">
        <f t="shared" si="14"/>
        <v/>
      </c>
      <c r="P136" s="1" t="str">
        <f>IF(B136&lt;&gt;"",(IF((_xlfn.XLOOKUP(C136,'Loan Out'!A:A,'Loan Out'!L:L))="Bad debt","Bad debt",IF(M136&gt;0,"Pending","Settled"))),"")</f>
        <v/>
      </c>
    </row>
    <row r="137" spans="1:16">
      <c r="A137" t="str">
        <f t="shared" si="10"/>
        <v/>
      </c>
      <c r="C137" t="str">
        <f t="shared" si="11"/>
        <v/>
      </c>
      <c r="D137" t="str">
        <f>IF(C137="","",(_xlfn.XLOOKUP(C137,'Loan Out'!A:A,'Loan Out'!J:J)))</f>
        <v/>
      </c>
      <c r="E137" t="str">
        <f>IF(C137="","",(_xlfn.XLOOKUP(C137,'Loan Out'!A:A,'Loan Out'!D:D)))</f>
        <v/>
      </c>
      <c r="F137" t="str">
        <f>IF(C137="","",(_xlfn.XLOOKUP(C137,'Loan Out'!A:A,'Loan Out'!E:E)))</f>
        <v/>
      </c>
      <c r="G137" t="str">
        <f>IF(C137="","",(_xlfn.XLOOKUP(C137,'Loan Out'!A:A,'Loan Out'!F:F)))</f>
        <v/>
      </c>
      <c r="H137" t="str">
        <f>IF(C137="","",(_xlfn.XLOOKUP(C137,'Loan Out'!A:A,'Loan Out'!G:G)))</f>
        <v/>
      </c>
      <c r="I137" t="str">
        <f>IF(C137="","",(_xlfn.XLOOKUP(C137,'Loan Out'!A:A,'Loan Out'!H:H)))</f>
        <v/>
      </c>
      <c r="J137" t="str">
        <f>IF(C137="","",(_xlfn.XLOOKUP(C137,'Loan Out'!A:A,'Loan Out'!I:I)))</f>
        <v/>
      </c>
      <c r="K137" t="str">
        <f>IF(C137="","",(_xlfn.XLOOKUP(C137,'Loan Out'!A:A,'Loan Out'!J:J)))</f>
        <v/>
      </c>
      <c r="L137" t="str">
        <f>IF(C137&lt;&gt;"",(SUMIF(Payments!C:C,C137,Payments!G:G)),"")</f>
        <v/>
      </c>
      <c r="M137" t="str">
        <f t="shared" si="12"/>
        <v/>
      </c>
      <c r="N137" t="str">
        <f t="shared" si="13"/>
        <v/>
      </c>
      <c r="O137" t="str">
        <f t="shared" si="14"/>
        <v/>
      </c>
      <c r="P137" s="1" t="str">
        <f>IF(B137&lt;&gt;"",(IF((_xlfn.XLOOKUP(C137,'Loan Out'!A:A,'Loan Out'!L:L))="Bad debt","Bad debt",IF(M137&gt;0,"Pending","Settled"))),"")</f>
        <v/>
      </c>
    </row>
    <row r="138" spans="1:16">
      <c r="A138" t="str">
        <f t="shared" si="10"/>
        <v/>
      </c>
      <c r="C138" t="str">
        <f t="shared" si="11"/>
        <v/>
      </c>
      <c r="D138" t="str">
        <f>IF(C138="","",(_xlfn.XLOOKUP(C138,'Loan Out'!A:A,'Loan Out'!J:J)))</f>
        <v/>
      </c>
      <c r="E138" t="str">
        <f>IF(C138="","",(_xlfn.XLOOKUP(C138,'Loan Out'!A:A,'Loan Out'!D:D)))</f>
        <v/>
      </c>
      <c r="F138" t="str">
        <f>IF(C138="","",(_xlfn.XLOOKUP(C138,'Loan Out'!A:A,'Loan Out'!E:E)))</f>
        <v/>
      </c>
      <c r="G138" t="str">
        <f>IF(C138="","",(_xlfn.XLOOKUP(C138,'Loan Out'!A:A,'Loan Out'!F:F)))</f>
        <v/>
      </c>
      <c r="H138" t="str">
        <f>IF(C138="","",(_xlfn.XLOOKUP(C138,'Loan Out'!A:A,'Loan Out'!G:G)))</f>
        <v/>
      </c>
      <c r="I138" t="str">
        <f>IF(C138="","",(_xlfn.XLOOKUP(C138,'Loan Out'!A:A,'Loan Out'!H:H)))</f>
        <v/>
      </c>
      <c r="J138" t="str">
        <f>IF(C138="","",(_xlfn.XLOOKUP(C138,'Loan Out'!A:A,'Loan Out'!I:I)))</f>
        <v/>
      </c>
      <c r="K138" t="str">
        <f>IF(C138="","",(_xlfn.XLOOKUP(C138,'Loan Out'!A:A,'Loan Out'!J:J)))</f>
        <v/>
      </c>
      <c r="L138" t="str">
        <f>IF(C138&lt;&gt;"",(SUMIF(Payments!C:C,C138,Payments!G:G)),"")</f>
        <v/>
      </c>
      <c r="M138" t="str">
        <f t="shared" si="12"/>
        <v/>
      </c>
      <c r="N138" t="str">
        <f t="shared" si="13"/>
        <v/>
      </c>
      <c r="O138" t="str">
        <f t="shared" si="14"/>
        <v/>
      </c>
      <c r="P138" s="1" t="str">
        <f>IF(B138&lt;&gt;"",(IF((_xlfn.XLOOKUP(C138,'Loan Out'!A:A,'Loan Out'!L:L))="Bad debt","Bad debt",IF(M138&gt;0,"Pending","Settled"))),"")</f>
        <v/>
      </c>
    </row>
    <row r="139" spans="1:16">
      <c r="A139" t="str">
        <f t="shared" si="10"/>
        <v/>
      </c>
      <c r="C139" t="str">
        <f t="shared" si="11"/>
        <v/>
      </c>
      <c r="D139" t="str">
        <f>IF(C139="","",(_xlfn.XLOOKUP(C139,'Loan Out'!A:A,'Loan Out'!J:J)))</f>
        <v/>
      </c>
      <c r="E139" t="str">
        <f>IF(C139="","",(_xlfn.XLOOKUP(C139,'Loan Out'!A:A,'Loan Out'!D:D)))</f>
        <v/>
      </c>
      <c r="F139" t="str">
        <f>IF(C139="","",(_xlfn.XLOOKUP(C139,'Loan Out'!A:A,'Loan Out'!E:E)))</f>
        <v/>
      </c>
      <c r="G139" t="str">
        <f>IF(C139="","",(_xlfn.XLOOKUP(C139,'Loan Out'!A:A,'Loan Out'!F:F)))</f>
        <v/>
      </c>
      <c r="H139" t="str">
        <f>IF(C139="","",(_xlfn.XLOOKUP(C139,'Loan Out'!A:A,'Loan Out'!G:G)))</f>
        <v/>
      </c>
      <c r="I139" t="str">
        <f>IF(C139="","",(_xlfn.XLOOKUP(C139,'Loan Out'!A:A,'Loan Out'!H:H)))</f>
        <v/>
      </c>
      <c r="J139" t="str">
        <f>IF(C139="","",(_xlfn.XLOOKUP(C139,'Loan Out'!A:A,'Loan Out'!I:I)))</f>
        <v/>
      </c>
      <c r="K139" t="str">
        <f>IF(C139="","",(_xlfn.XLOOKUP(C139,'Loan Out'!A:A,'Loan Out'!J:J)))</f>
        <v/>
      </c>
      <c r="L139" t="str">
        <f>IF(C139&lt;&gt;"",(SUMIF(Payments!C:C,C139,Payments!G:G)),"")</f>
        <v/>
      </c>
      <c r="M139" t="str">
        <f t="shared" si="12"/>
        <v/>
      </c>
      <c r="N139" t="str">
        <f t="shared" si="13"/>
        <v/>
      </c>
      <c r="O139" t="str">
        <f t="shared" si="14"/>
        <v/>
      </c>
      <c r="P139" s="1" t="str">
        <f>IF(B139&lt;&gt;"",(IF((_xlfn.XLOOKUP(C139,'Loan Out'!A:A,'Loan Out'!L:L))="Bad debt","Bad debt",IF(M139&gt;0,"Pending","Settled"))),"")</f>
        <v/>
      </c>
    </row>
    <row r="140" spans="1:16">
      <c r="A140" t="str">
        <f t="shared" si="10"/>
        <v/>
      </c>
      <c r="C140" t="str">
        <f t="shared" si="11"/>
        <v/>
      </c>
      <c r="D140" t="str">
        <f>IF(C140="","",(_xlfn.XLOOKUP(C140,'Loan Out'!A:A,'Loan Out'!J:J)))</f>
        <v/>
      </c>
      <c r="E140" t="str">
        <f>IF(C140="","",(_xlfn.XLOOKUP(C140,'Loan Out'!A:A,'Loan Out'!D:D)))</f>
        <v/>
      </c>
      <c r="F140" t="str">
        <f>IF(C140="","",(_xlfn.XLOOKUP(C140,'Loan Out'!A:A,'Loan Out'!E:E)))</f>
        <v/>
      </c>
      <c r="G140" t="str">
        <f>IF(C140="","",(_xlfn.XLOOKUP(C140,'Loan Out'!A:A,'Loan Out'!F:F)))</f>
        <v/>
      </c>
      <c r="H140" t="str">
        <f>IF(C140="","",(_xlfn.XLOOKUP(C140,'Loan Out'!A:A,'Loan Out'!G:G)))</f>
        <v/>
      </c>
      <c r="I140" t="str">
        <f>IF(C140="","",(_xlfn.XLOOKUP(C140,'Loan Out'!A:A,'Loan Out'!H:H)))</f>
        <v/>
      </c>
      <c r="J140" t="str">
        <f>IF(C140="","",(_xlfn.XLOOKUP(C140,'Loan Out'!A:A,'Loan Out'!I:I)))</f>
        <v/>
      </c>
      <c r="K140" t="str">
        <f>IF(C140="","",(_xlfn.XLOOKUP(C140,'Loan Out'!A:A,'Loan Out'!J:J)))</f>
        <v/>
      </c>
      <c r="L140" t="str">
        <f>IF(C140&lt;&gt;"",(SUMIF(Payments!C:C,C140,Payments!G:G)),"")</f>
        <v/>
      </c>
      <c r="M140" t="str">
        <f t="shared" si="12"/>
        <v/>
      </c>
      <c r="N140" t="str">
        <f t="shared" si="13"/>
        <v/>
      </c>
      <c r="O140" t="str">
        <f t="shared" si="14"/>
        <v/>
      </c>
      <c r="P140" s="1" t="str">
        <f>IF(B140&lt;&gt;"",(IF((_xlfn.XLOOKUP(C140,'Loan Out'!A:A,'Loan Out'!L:L))="Bad debt","Bad debt",IF(M140&gt;0,"Pending","Settled"))),"")</f>
        <v/>
      </c>
    </row>
    <row r="141" spans="1:16">
      <c r="A141" t="str">
        <f t="shared" si="10"/>
        <v/>
      </c>
      <c r="C141" t="str">
        <f t="shared" si="11"/>
        <v/>
      </c>
      <c r="D141" t="str">
        <f>IF(C141="","",(_xlfn.XLOOKUP(C141,'Loan Out'!A:A,'Loan Out'!J:J)))</f>
        <v/>
      </c>
      <c r="E141" t="str">
        <f>IF(C141="","",(_xlfn.XLOOKUP(C141,'Loan Out'!A:A,'Loan Out'!D:D)))</f>
        <v/>
      </c>
      <c r="F141" t="str">
        <f>IF(C141="","",(_xlfn.XLOOKUP(C141,'Loan Out'!A:A,'Loan Out'!E:E)))</f>
        <v/>
      </c>
      <c r="G141" t="str">
        <f>IF(C141="","",(_xlfn.XLOOKUP(C141,'Loan Out'!A:A,'Loan Out'!F:F)))</f>
        <v/>
      </c>
      <c r="H141" t="str">
        <f>IF(C141="","",(_xlfn.XLOOKUP(C141,'Loan Out'!A:A,'Loan Out'!G:G)))</f>
        <v/>
      </c>
      <c r="I141" t="str">
        <f>IF(C141="","",(_xlfn.XLOOKUP(C141,'Loan Out'!A:A,'Loan Out'!H:H)))</f>
        <v/>
      </c>
      <c r="J141" t="str">
        <f>IF(C141="","",(_xlfn.XLOOKUP(C141,'Loan Out'!A:A,'Loan Out'!I:I)))</f>
        <v/>
      </c>
      <c r="K141" t="str">
        <f>IF(C141="","",(_xlfn.XLOOKUP(C141,'Loan Out'!A:A,'Loan Out'!J:J)))</f>
        <v/>
      </c>
      <c r="L141" t="str">
        <f>IF(C141&lt;&gt;"",(SUMIF(Payments!C:C,C141,Payments!G:G)),"")</f>
        <v/>
      </c>
      <c r="M141" t="str">
        <f t="shared" si="12"/>
        <v/>
      </c>
      <c r="N141" t="str">
        <f t="shared" si="13"/>
        <v/>
      </c>
      <c r="O141" t="str">
        <f t="shared" si="14"/>
        <v/>
      </c>
      <c r="P141" s="1" t="str">
        <f>IF(B141&lt;&gt;"",(IF((_xlfn.XLOOKUP(C141,'Loan Out'!A:A,'Loan Out'!L:L))="Bad debt","Bad debt",IF(M141&gt;0,"Pending","Settled"))),"")</f>
        <v/>
      </c>
    </row>
    <row r="142" spans="1:16">
      <c r="A142" t="str">
        <f t="shared" si="10"/>
        <v/>
      </c>
      <c r="C142" t="str">
        <f t="shared" si="11"/>
        <v/>
      </c>
      <c r="D142" t="str">
        <f>IF(C142="","",(_xlfn.XLOOKUP(C142,'Loan Out'!A:A,'Loan Out'!J:J)))</f>
        <v/>
      </c>
      <c r="E142" t="str">
        <f>IF(C142="","",(_xlfn.XLOOKUP(C142,'Loan Out'!A:A,'Loan Out'!D:D)))</f>
        <v/>
      </c>
      <c r="F142" t="str">
        <f>IF(C142="","",(_xlfn.XLOOKUP(C142,'Loan Out'!A:A,'Loan Out'!E:E)))</f>
        <v/>
      </c>
      <c r="G142" t="str">
        <f>IF(C142="","",(_xlfn.XLOOKUP(C142,'Loan Out'!A:A,'Loan Out'!F:F)))</f>
        <v/>
      </c>
      <c r="H142" t="str">
        <f>IF(C142="","",(_xlfn.XLOOKUP(C142,'Loan Out'!A:A,'Loan Out'!G:G)))</f>
        <v/>
      </c>
      <c r="I142" t="str">
        <f>IF(C142="","",(_xlfn.XLOOKUP(C142,'Loan Out'!A:A,'Loan Out'!H:H)))</f>
        <v/>
      </c>
      <c r="J142" t="str">
        <f>IF(C142="","",(_xlfn.XLOOKUP(C142,'Loan Out'!A:A,'Loan Out'!I:I)))</f>
        <v/>
      </c>
      <c r="K142" t="str">
        <f>IF(C142="","",(_xlfn.XLOOKUP(C142,'Loan Out'!A:A,'Loan Out'!J:J)))</f>
        <v/>
      </c>
      <c r="L142" t="str">
        <f>IF(C142&lt;&gt;"",(SUMIF(Payments!C:C,C142,Payments!G:G)),"")</f>
        <v/>
      </c>
      <c r="M142" t="str">
        <f t="shared" si="12"/>
        <v/>
      </c>
      <c r="N142" t="str">
        <f t="shared" si="13"/>
        <v/>
      </c>
      <c r="O142" t="str">
        <f t="shared" si="14"/>
        <v/>
      </c>
      <c r="P142" s="1" t="str">
        <f>IF(B142&lt;&gt;"",(IF((_xlfn.XLOOKUP(C142,'Loan Out'!A:A,'Loan Out'!L:L))="Bad debt","Bad debt",IF(M142&gt;0,"Pending","Settled"))),"")</f>
        <v/>
      </c>
    </row>
    <row r="143" spans="1:16">
      <c r="A143" t="str">
        <f t="shared" si="10"/>
        <v/>
      </c>
      <c r="C143" t="str">
        <f t="shared" si="11"/>
        <v/>
      </c>
      <c r="D143" t="str">
        <f>IF(C143="","",(_xlfn.XLOOKUP(C143,'Loan Out'!A:A,'Loan Out'!J:J)))</f>
        <v/>
      </c>
      <c r="E143" t="str">
        <f>IF(C143="","",(_xlfn.XLOOKUP(C143,'Loan Out'!A:A,'Loan Out'!D:D)))</f>
        <v/>
      </c>
      <c r="F143" t="str">
        <f>IF(C143="","",(_xlfn.XLOOKUP(C143,'Loan Out'!A:A,'Loan Out'!E:E)))</f>
        <v/>
      </c>
      <c r="G143" t="str">
        <f>IF(C143="","",(_xlfn.XLOOKUP(C143,'Loan Out'!A:A,'Loan Out'!F:F)))</f>
        <v/>
      </c>
      <c r="H143" t="str">
        <f>IF(C143="","",(_xlfn.XLOOKUP(C143,'Loan Out'!A:A,'Loan Out'!G:G)))</f>
        <v/>
      </c>
      <c r="I143" t="str">
        <f>IF(C143="","",(_xlfn.XLOOKUP(C143,'Loan Out'!A:A,'Loan Out'!H:H)))</f>
        <v/>
      </c>
      <c r="J143" t="str">
        <f>IF(C143="","",(_xlfn.XLOOKUP(C143,'Loan Out'!A:A,'Loan Out'!I:I)))</f>
        <v/>
      </c>
      <c r="K143" t="str">
        <f>IF(C143="","",(_xlfn.XLOOKUP(C143,'Loan Out'!A:A,'Loan Out'!J:J)))</f>
        <v/>
      </c>
      <c r="L143" t="str">
        <f>IF(C143&lt;&gt;"",(SUMIF(Payments!C:C,C143,Payments!G:G)),"")</f>
        <v/>
      </c>
      <c r="M143" t="str">
        <f t="shared" si="12"/>
        <v/>
      </c>
      <c r="N143" t="str">
        <f t="shared" si="13"/>
        <v/>
      </c>
      <c r="O143" t="str">
        <f t="shared" si="14"/>
        <v/>
      </c>
      <c r="P143" s="1" t="str">
        <f>IF(B143&lt;&gt;"",(IF((_xlfn.XLOOKUP(C143,'Loan Out'!A:A,'Loan Out'!L:L))="Bad debt","Bad debt",IF(M143&gt;0,"Pending","Settled"))),"")</f>
        <v/>
      </c>
    </row>
    <row r="144" spans="1:16">
      <c r="A144" t="str">
        <f t="shared" si="10"/>
        <v/>
      </c>
      <c r="C144" t="str">
        <f t="shared" si="11"/>
        <v/>
      </c>
      <c r="D144" t="str">
        <f>IF(C144="","",(_xlfn.XLOOKUP(C144,'Loan Out'!A:A,'Loan Out'!J:J)))</f>
        <v/>
      </c>
      <c r="E144" t="str">
        <f>IF(C144="","",(_xlfn.XLOOKUP(C144,'Loan Out'!A:A,'Loan Out'!D:D)))</f>
        <v/>
      </c>
      <c r="F144" t="str">
        <f>IF(C144="","",(_xlfn.XLOOKUP(C144,'Loan Out'!A:A,'Loan Out'!E:E)))</f>
        <v/>
      </c>
      <c r="G144" t="str">
        <f>IF(C144="","",(_xlfn.XLOOKUP(C144,'Loan Out'!A:A,'Loan Out'!F:F)))</f>
        <v/>
      </c>
      <c r="H144" t="str">
        <f>IF(C144="","",(_xlfn.XLOOKUP(C144,'Loan Out'!A:A,'Loan Out'!G:G)))</f>
        <v/>
      </c>
      <c r="I144" t="str">
        <f>IF(C144="","",(_xlfn.XLOOKUP(C144,'Loan Out'!A:A,'Loan Out'!H:H)))</f>
        <v/>
      </c>
      <c r="J144" t="str">
        <f>IF(C144="","",(_xlfn.XLOOKUP(C144,'Loan Out'!A:A,'Loan Out'!I:I)))</f>
        <v/>
      </c>
      <c r="K144" t="str">
        <f>IF(C144="","",(_xlfn.XLOOKUP(C144,'Loan Out'!A:A,'Loan Out'!J:J)))</f>
        <v/>
      </c>
      <c r="L144" t="str">
        <f>IF(C144&lt;&gt;"",(SUMIF(Payments!C:C,C144,Payments!G:G)),"")</f>
        <v/>
      </c>
      <c r="M144" t="str">
        <f t="shared" si="12"/>
        <v/>
      </c>
      <c r="N144" t="str">
        <f t="shared" si="13"/>
        <v/>
      </c>
      <c r="O144" t="str">
        <f t="shared" si="14"/>
        <v/>
      </c>
      <c r="P144" s="1" t="str">
        <f>IF(B144&lt;&gt;"",(IF((_xlfn.XLOOKUP(C144,'Loan Out'!A:A,'Loan Out'!L:L))="Bad debt","Bad debt",IF(M144&gt;0,"Pending","Settled"))),"")</f>
        <v/>
      </c>
    </row>
    <row r="145" spans="1:16">
      <c r="A145" t="str">
        <f t="shared" si="10"/>
        <v/>
      </c>
      <c r="C145" t="str">
        <f t="shared" si="11"/>
        <v/>
      </c>
      <c r="D145" t="str">
        <f>IF(C145="","",(_xlfn.XLOOKUP(C145,'Loan Out'!A:A,'Loan Out'!J:J)))</f>
        <v/>
      </c>
      <c r="E145" t="str">
        <f>IF(C145="","",(_xlfn.XLOOKUP(C145,'Loan Out'!A:A,'Loan Out'!D:D)))</f>
        <v/>
      </c>
      <c r="F145" t="str">
        <f>IF(C145="","",(_xlfn.XLOOKUP(C145,'Loan Out'!A:A,'Loan Out'!E:E)))</f>
        <v/>
      </c>
      <c r="G145" t="str">
        <f>IF(C145="","",(_xlfn.XLOOKUP(C145,'Loan Out'!A:A,'Loan Out'!F:F)))</f>
        <v/>
      </c>
      <c r="H145" t="str">
        <f>IF(C145="","",(_xlfn.XLOOKUP(C145,'Loan Out'!A:A,'Loan Out'!G:G)))</f>
        <v/>
      </c>
      <c r="I145" t="str">
        <f>IF(C145="","",(_xlfn.XLOOKUP(C145,'Loan Out'!A:A,'Loan Out'!H:H)))</f>
        <v/>
      </c>
      <c r="J145" t="str">
        <f>IF(C145="","",(_xlfn.XLOOKUP(C145,'Loan Out'!A:A,'Loan Out'!I:I)))</f>
        <v/>
      </c>
      <c r="K145" t="str">
        <f>IF(C145="","",(_xlfn.XLOOKUP(C145,'Loan Out'!A:A,'Loan Out'!J:J)))</f>
        <v/>
      </c>
      <c r="L145" t="str">
        <f>IF(C145&lt;&gt;"",(SUMIF(Payments!C:C,C145,Payments!G:G)),"")</f>
        <v/>
      </c>
      <c r="M145" t="str">
        <f t="shared" si="12"/>
        <v/>
      </c>
      <c r="N145" t="str">
        <f t="shared" si="13"/>
        <v/>
      </c>
      <c r="O145" t="str">
        <f t="shared" si="14"/>
        <v/>
      </c>
      <c r="P145" s="1" t="str">
        <f>IF(B145&lt;&gt;"",(IF((_xlfn.XLOOKUP(C145,'Loan Out'!A:A,'Loan Out'!L:L))="Bad debt","Bad debt",IF(M145&gt;0,"Pending","Settled"))),"")</f>
        <v/>
      </c>
    </row>
    <row r="146" spans="1:16">
      <c r="A146" t="str">
        <f t="shared" si="10"/>
        <v/>
      </c>
      <c r="C146" t="str">
        <f t="shared" si="11"/>
        <v/>
      </c>
      <c r="D146" t="str">
        <f>IF(C146="","",(_xlfn.XLOOKUP(C146,'Loan Out'!A:A,'Loan Out'!J:J)))</f>
        <v/>
      </c>
      <c r="E146" t="str">
        <f>IF(C146="","",(_xlfn.XLOOKUP(C146,'Loan Out'!A:A,'Loan Out'!D:D)))</f>
        <v/>
      </c>
      <c r="F146" t="str">
        <f>IF(C146="","",(_xlfn.XLOOKUP(C146,'Loan Out'!A:A,'Loan Out'!E:E)))</f>
        <v/>
      </c>
      <c r="G146" t="str">
        <f>IF(C146="","",(_xlfn.XLOOKUP(C146,'Loan Out'!A:A,'Loan Out'!F:F)))</f>
        <v/>
      </c>
      <c r="H146" t="str">
        <f>IF(C146="","",(_xlfn.XLOOKUP(C146,'Loan Out'!A:A,'Loan Out'!G:G)))</f>
        <v/>
      </c>
      <c r="I146" t="str">
        <f>IF(C146="","",(_xlfn.XLOOKUP(C146,'Loan Out'!A:A,'Loan Out'!H:H)))</f>
        <v/>
      </c>
      <c r="J146" t="str">
        <f>IF(C146="","",(_xlfn.XLOOKUP(C146,'Loan Out'!A:A,'Loan Out'!I:I)))</f>
        <v/>
      </c>
      <c r="K146" t="str">
        <f>IF(C146="","",(_xlfn.XLOOKUP(C146,'Loan Out'!A:A,'Loan Out'!J:J)))</f>
        <v/>
      </c>
      <c r="L146" t="str">
        <f>IF(C146&lt;&gt;"",(SUMIF(Payments!C:C,C146,Payments!G:G)),"")</f>
        <v/>
      </c>
      <c r="M146" t="str">
        <f t="shared" si="12"/>
        <v/>
      </c>
      <c r="N146" t="str">
        <f t="shared" si="13"/>
        <v/>
      </c>
      <c r="O146" t="str">
        <f t="shared" si="14"/>
        <v/>
      </c>
      <c r="P146" s="1" t="str">
        <f>IF(B146&lt;&gt;"",(IF((_xlfn.XLOOKUP(C146,'Loan Out'!A:A,'Loan Out'!L:L))="Bad debt","Bad debt",IF(M146&gt;0,"Pending","Settled"))),"")</f>
        <v/>
      </c>
    </row>
    <row r="147" spans="1:16">
      <c r="A147" t="str">
        <f t="shared" si="10"/>
        <v/>
      </c>
      <c r="C147" t="str">
        <f t="shared" si="11"/>
        <v/>
      </c>
      <c r="D147" t="str">
        <f>IF(C147="","",(_xlfn.XLOOKUP(C147,'Loan Out'!A:A,'Loan Out'!J:J)))</f>
        <v/>
      </c>
      <c r="E147" t="str">
        <f>IF(C147="","",(_xlfn.XLOOKUP(C147,'Loan Out'!A:A,'Loan Out'!D:D)))</f>
        <v/>
      </c>
      <c r="F147" t="str">
        <f>IF(C147="","",(_xlfn.XLOOKUP(C147,'Loan Out'!A:A,'Loan Out'!E:E)))</f>
        <v/>
      </c>
      <c r="G147" t="str">
        <f>IF(C147="","",(_xlfn.XLOOKUP(C147,'Loan Out'!A:A,'Loan Out'!F:F)))</f>
        <v/>
      </c>
      <c r="H147" t="str">
        <f>IF(C147="","",(_xlfn.XLOOKUP(C147,'Loan Out'!A:A,'Loan Out'!G:G)))</f>
        <v/>
      </c>
      <c r="I147" t="str">
        <f>IF(C147="","",(_xlfn.XLOOKUP(C147,'Loan Out'!A:A,'Loan Out'!H:H)))</f>
        <v/>
      </c>
      <c r="J147" t="str">
        <f>IF(C147="","",(_xlfn.XLOOKUP(C147,'Loan Out'!A:A,'Loan Out'!I:I)))</f>
        <v/>
      </c>
      <c r="K147" t="str">
        <f>IF(C147="","",(_xlfn.XLOOKUP(C147,'Loan Out'!A:A,'Loan Out'!J:J)))</f>
        <v/>
      </c>
      <c r="L147" t="str">
        <f>IF(C147&lt;&gt;"",(SUMIF(Payments!C:C,C147,Payments!G:G)),"")</f>
        <v/>
      </c>
      <c r="M147" t="str">
        <f t="shared" si="12"/>
        <v/>
      </c>
      <c r="N147" t="str">
        <f t="shared" si="13"/>
        <v/>
      </c>
      <c r="O147" t="str">
        <f t="shared" si="14"/>
        <v/>
      </c>
      <c r="P147" s="1" t="str">
        <f>IF(B147&lt;&gt;"",(IF((_xlfn.XLOOKUP(C147,'Loan Out'!A:A,'Loan Out'!L:L))="Bad debt","Bad debt",IF(M147&gt;0,"Pending","Settled"))),"")</f>
        <v/>
      </c>
    </row>
    <row r="148" spans="1:16">
      <c r="A148" t="str">
        <f t="shared" si="10"/>
        <v/>
      </c>
      <c r="C148" t="str">
        <f t="shared" si="11"/>
        <v/>
      </c>
      <c r="D148" t="str">
        <f>IF(C148="","",(_xlfn.XLOOKUP(C148,'Loan Out'!A:A,'Loan Out'!J:J)))</f>
        <v/>
      </c>
      <c r="E148" t="str">
        <f>IF(C148="","",(_xlfn.XLOOKUP(C148,'Loan Out'!A:A,'Loan Out'!D:D)))</f>
        <v/>
      </c>
      <c r="F148" t="str">
        <f>IF(C148="","",(_xlfn.XLOOKUP(C148,'Loan Out'!A:A,'Loan Out'!E:E)))</f>
        <v/>
      </c>
      <c r="G148" t="str">
        <f>IF(C148="","",(_xlfn.XLOOKUP(C148,'Loan Out'!A:A,'Loan Out'!F:F)))</f>
        <v/>
      </c>
      <c r="H148" t="str">
        <f>IF(C148="","",(_xlfn.XLOOKUP(C148,'Loan Out'!A:A,'Loan Out'!G:G)))</f>
        <v/>
      </c>
      <c r="I148" t="str">
        <f>IF(C148="","",(_xlfn.XLOOKUP(C148,'Loan Out'!A:A,'Loan Out'!H:H)))</f>
        <v/>
      </c>
      <c r="J148" t="str">
        <f>IF(C148="","",(_xlfn.XLOOKUP(C148,'Loan Out'!A:A,'Loan Out'!I:I)))</f>
        <v/>
      </c>
      <c r="K148" t="str">
        <f>IF(C148="","",(_xlfn.XLOOKUP(C148,'Loan Out'!A:A,'Loan Out'!J:J)))</f>
        <v/>
      </c>
      <c r="L148" t="str">
        <f>IF(C148&lt;&gt;"",(SUMIF(Payments!C:C,C148,Payments!G:G)),"")</f>
        <v/>
      </c>
      <c r="M148" t="str">
        <f t="shared" si="12"/>
        <v/>
      </c>
      <c r="N148" t="str">
        <f t="shared" si="13"/>
        <v/>
      </c>
      <c r="O148" t="str">
        <f t="shared" si="14"/>
        <v/>
      </c>
      <c r="P148" s="1" t="str">
        <f>IF(B148&lt;&gt;"",(IF((_xlfn.XLOOKUP(C148,'Loan Out'!A:A,'Loan Out'!L:L))="Bad debt","Bad debt",IF(M148&gt;0,"Pending","Settled"))),"")</f>
        <v/>
      </c>
    </row>
    <row r="149" spans="1:16">
      <c r="A149" t="str">
        <f t="shared" si="10"/>
        <v/>
      </c>
      <c r="C149" t="str">
        <f t="shared" si="11"/>
        <v/>
      </c>
      <c r="D149" t="str">
        <f>IF(C149="","",(_xlfn.XLOOKUP(C149,'Loan Out'!A:A,'Loan Out'!J:J)))</f>
        <v/>
      </c>
      <c r="E149" t="str">
        <f>IF(C149="","",(_xlfn.XLOOKUP(C149,'Loan Out'!A:A,'Loan Out'!D:D)))</f>
        <v/>
      </c>
      <c r="F149" t="str">
        <f>IF(C149="","",(_xlfn.XLOOKUP(C149,'Loan Out'!A:A,'Loan Out'!E:E)))</f>
        <v/>
      </c>
      <c r="G149" t="str">
        <f>IF(C149="","",(_xlfn.XLOOKUP(C149,'Loan Out'!A:A,'Loan Out'!F:F)))</f>
        <v/>
      </c>
      <c r="H149" t="str">
        <f>IF(C149="","",(_xlfn.XLOOKUP(C149,'Loan Out'!A:A,'Loan Out'!G:G)))</f>
        <v/>
      </c>
      <c r="I149" t="str">
        <f>IF(C149="","",(_xlfn.XLOOKUP(C149,'Loan Out'!A:A,'Loan Out'!H:H)))</f>
        <v/>
      </c>
      <c r="J149" t="str">
        <f>IF(C149="","",(_xlfn.XLOOKUP(C149,'Loan Out'!A:A,'Loan Out'!I:I)))</f>
        <v/>
      </c>
      <c r="K149" t="str">
        <f>IF(C149="","",(_xlfn.XLOOKUP(C149,'Loan Out'!A:A,'Loan Out'!J:J)))</f>
        <v/>
      </c>
      <c r="L149" t="str">
        <f>IF(C149&lt;&gt;"",(SUMIF(Payments!C:C,C149,Payments!G:G)),"")</f>
        <v/>
      </c>
      <c r="M149" t="str">
        <f t="shared" si="12"/>
        <v/>
      </c>
      <c r="N149" t="str">
        <f t="shared" si="13"/>
        <v/>
      </c>
      <c r="O149" t="str">
        <f t="shared" si="14"/>
        <v/>
      </c>
      <c r="P149" s="1" t="str">
        <f>IF(B149&lt;&gt;"",(IF((_xlfn.XLOOKUP(C149,'Loan Out'!A:A,'Loan Out'!L:L))="Bad debt","Bad debt",IF(M149&gt;0,"Pending","Settled"))),"")</f>
        <v/>
      </c>
    </row>
    <row r="150" spans="1:16">
      <c r="A150" t="str">
        <f t="shared" si="10"/>
        <v/>
      </c>
      <c r="C150" t="str">
        <f t="shared" si="11"/>
        <v/>
      </c>
      <c r="D150" t="str">
        <f>IF(C150="","",(_xlfn.XLOOKUP(C150,'Loan Out'!A:A,'Loan Out'!J:J)))</f>
        <v/>
      </c>
      <c r="E150" t="str">
        <f>IF(C150="","",(_xlfn.XLOOKUP(C150,'Loan Out'!A:A,'Loan Out'!D:D)))</f>
        <v/>
      </c>
      <c r="F150" t="str">
        <f>IF(C150="","",(_xlfn.XLOOKUP(C150,'Loan Out'!A:A,'Loan Out'!E:E)))</f>
        <v/>
      </c>
      <c r="G150" t="str">
        <f>IF(C150="","",(_xlfn.XLOOKUP(C150,'Loan Out'!A:A,'Loan Out'!F:F)))</f>
        <v/>
      </c>
      <c r="H150" t="str">
        <f>IF(C150="","",(_xlfn.XLOOKUP(C150,'Loan Out'!A:A,'Loan Out'!G:G)))</f>
        <v/>
      </c>
      <c r="I150" t="str">
        <f>IF(C150="","",(_xlfn.XLOOKUP(C150,'Loan Out'!A:A,'Loan Out'!H:H)))</f>
        <v/>
      </c>
      <c r="J150" t="str">
        <f>IF(C150="","",(_xlfn.XLOOKUP(C150,'Loan Out'!A:A,'Loan Out'!I:I)))</f>
        <v/>
      </c>
      <c r="K150" t="str">
        <f>IF(C150="","",(_xlfn.XLOOKUP(C150,'Loan Out'!A:A,'Loan Out'!J:J)))</f>
        <v/>
      </c>
      <c r="L150" t="str">
        <f>IF(C150&lt;&gt;"",(SUMIF(Payments!C:C,C150,Payments!G:G)),"")</f>
        <v/>
      </c>
      <c r="M150" t="str">
        <f t="shared" si="12"/>
        <v/>
      </c>
      <c r="N150" t="str">
        <f t="shared" si="13"/>
        <v/>
      </c>
      <c r="O150" t="str">
        <f t="shared" si="14"/>
        <v/>
      </c>
      <c r="P150" s="1" t="str">
        <f>IF(B150&lt;&gt;"",(IF((_xlfn.XLOOKUP(C150,'Loan Out'!A:A,'Loan Out'!L:L))="Bad debt","Bad debt",IF(M150&gt;0,"Pending","Settled"))),"")</f>
        <v/>
      </c>
    </row>
    <row r="151" spans="1:16">
      <c r="A151" t="str">
        <f t="shared" si="10"/>
        <v/>
      </c>
      <c r="C151" t="str">
        <f t="shared" si="11"/>
        <v/>
      </c>
      <c r="D151" t="str">
        <f>IF(C151="","",(_xlfn.XLOOKUP(C151,'Loan Out'!A:A,'Loan Out'!J:J)))</f>
        <v/>
      </c>
      <c r="E151" t="str">
        <f>IF(C151="","",(_xlfn.XLOOKUP(C151,'Loan Out'!A:A,'Loan Out'!D:D)))</f>
        <v/>
      </c>
      <c r="F151" t="str">
        <f>IF(C151="","",(_xlfn.XLOOKUP(C151,'Loan Out'!A:A,'Loan Out'!E:E)))</f>
        <v/>
      </c>
      <c r="G151" t="str">
        <f>IF(C151="","",(_xlfn.XLOOKUP(C151,'Loan Out'!A:A,'Loan Out'!F:F)))</f>
        <v/>
      </c>
      <c r="H151" t="str">
        <f>IF(C151="","",(_xlfn.XLOOKUP(C151,'Loan Out'!A:A,'Loan Out'!G:G)))</f>
        <v/>
      </c>
      <c r="I151" t="str">
        <f>IF(C151="","",(_xlfn.XLOOKUP(C151,'Loan Out'!A:A,'Loan Out'!H:H)))</f>
        <v/>
      </c>
      <c r="J151" t="str">
        <f>IF(C151="","",(_xlfn.XLOOKUP(C151,'Loan Out'!A:A,'Loan Out'!I:I)))</f>
        <v/>
      </c>
      <c r="K151" t="str">
        <f>IF(C151="","",(_xlfn.XLOOKUP(C151,'Loan Out'!A:A,'Loan Out'!J:J)))</f>
        <v/>
      </c>
      <c r="L151" t="str">
        <f>IF(C151&lt;&gt;"",(SUMIF(Payments!C:C,C151,Payments!G:G)),"")</f>
        <v/>
      </c>
      <c r="M151" t="str">
        <f t="shared" si="12"/>
        <v/>
      </c>
      <c r="N151" t="str">
        <f t="shared" si="13"/>
        <v/>
      </c>
      <c r="O151" t="str">
        <f t="shared" si="14"/>
        <v/>
      </c>
      <c r="P151" s="1" t="str">
        <f>IF(B151&lt;&gt;"",(IF((_xlfn.XLOOKUP(C151,'Loan Out'!A:A,'Loan Out'!L:L))="Bad debt","Bad debt",IF(M151&gt;0,"Pending","Settled"))),"")</f>
        <v/>
      </c>
    </row>
    <row r="152" spans="1:16">
      <c r="A152" t="str">
        <f t="shared" si="10"/>
        <v/>
      </c>
      <c r="C152" t="str">
        <f t="shared" si="11"/>
        <v/>
      </c>
      <c r="D152" t="str">
        <f>IF(C152="","",(_xlfn.XLOOKUP(C152,'Loan Out'!A:A,'Loan Out'!J:J)))</f>
        <v/>
      </c>
      <c r="E152" t="str">
        <f>IF(C152="","",(_xlfn.XLOOKUP(C152,'Loan Out'!A:A,'Loan Out'!D:D)))</f>
        <v/>
      </c>
      <c r="F152" t="str">
        <f>IF(C152="","",(_xlfn.XLOOKUP(C152,'Loan Out'!A:A,'Loan Out'!E:E)))</f>
        <v/>
      </c>
      <c r="G152" t="str">
        <f>IF(C152="","",(_xlfn.XLOOKUP(C152,'Loan Out'!A:A,'Loan Out'!F:F)))</f>
        <v/>
      </c>
      <c r="H152" t="str">
        <f>IF(C152="","",(_xlfn.XLOOKUP(C152,'Loan Out'!A:A,'Loan Out'!G:G)))</f>
        <v/>
      </c>
      <c r="I152" t="str">
        <f>IF(C152="","",(_xlfn.XLOOKUP(C152,'Loan Out'!A:A,'Loan Out'!H:H)))</f>
        <v/>
      </c>
      <c r="J152" t="str">
        <f>IF(C152="","",(_xlfn.XLOOKUP(C152,'Loan Out'!A:A,'Loan Out'!I:I)))</f>
        <v/>
      </c>
      <c r="K152" t="str">
        <f>IF(C152="","",(_xlfn.XLOOKUP(C152,'Loan Out'!A:A,'Loan Out'!J:J)))</f>
        <v/>
      </c>
      <c r="L152" t="str">
        <f>IF(C152&lt;&gt;"",(SUMIF(Payments!C:C,C152,Payments!G:G)),"")</f>
        <v/>
      </c>
      <c r="M152" t="str">
        <f t="shared" si="12"/>
        <v/>
      </c>
      <c r="N152" t="str">
        <f t="shared" si="13"/>
        <v/>
      </c>
      <c r="O152" t="str">
        <f t="shared" si="14"/>
        <v/>
      </c>
      <c r="P152" s="1" t="str">
        <f>IF(B152&lt;&gt;"",(IF((_xlfn.XLOOKUP(C152,'Loan Out'!A:A,'Loan Out'!L:L))="Bad debt","Bad debt",IF(M152&gt;0,"Pending","Settled"))),"")</f>
        <v/>
      </c>
    </row>
    <row r="153" spans="1:16">
      <c r="A153" t="str">
        <f t="shared" si="10"/>
        <v/>
      </c>
      <c r="C153" t="str">
        <f t="shared" si="11"/>
        <v/>
      </c>
      <c r="D153" t="str">
        <f>IF(C153="","",(_xlfn.XLOOKUP(C153,'Loan Out'!A:A,'Loan Out'!J:J)))</f>
        <v/>
      </c>
      <c r="E153" t="str">
        <f>IF(C153="","",(_xlfn.XLOOKUP(C153,'Loan Out'!A:A,'Loan Out'!D:D)))</f>
        <v/>
      </c>
      <c r="F153" t="str">
        <f>IF(C153="","",(_xlfn.XLOOKUP(C153,'Loan Out'!A:A,'Loan Out'!E:E)))</f>
        <v/>
      </c>
      <c r="G153" t="str">
        <f>IF(C153="","",(_xlfn.XLOOKUP(C153,'Loan Out'!A:A,'Loan Out'!F:F)))</f>
        <v/>
      </c>
      <c r="H153" t="str">
        <f>IF(C153="","",(_xlfn.XLOOKUP(C153,'Loan Out'!A:A,'Loan Out'!G:G)))</f>
        <v/>
      </c>
      <c r="I153" t="str">
        <f>IF(C153="","",(_xlfn.XLOOKUP(C153,'Loan Out'!A:A,'Loan Out'!H:H)))</f>
        <v/>
      </c>
      <c r="J153" t="str">
        <f>IF(C153="","",(_xlfn.XLOOKUP(C153,'Loan Out'!A:A,'Loan Out'!I:I)))</f>
        <v/>
      </c>
      <c r="K153" t="str">
        <f>IF(C153="","",(_xlfn.XLOOKUP(C153,'Loan Out'!A:A,'Loan Out'!J:J)))</f>
        <v/>
      </c>
      <c r="L153" t="str">
        <f>IF(C153&lt;&gt;"",(SUMIF(Payments!C:C,C153,Payments!G:G)),"")</f>
        <v/>
      </c>
      <c r="M153" t="str">
        <f t="shared" si="12"/>
        <v/>
      </c>
      <c r="N153" t="str">
        <f t="shared" si="13"/>
        <v/>
      </c>
      <c r="O153" t="str">
        <f t="shared" si="14"/>
        <v/>
      </c>
      <c r="P153" s="1" t="str">
        <f>IF(B153&lt;&gt;"",(IF((_xlfn.XLOOKUP(C153,'Loan Out'!A:A,'Loan Out'!L:L))="Bad debt","Bad debt",IF(M153&gt;0,"Pending","Settled"))),"")</f>
        <v/>
      </c>
    </row>
    <row r="154" spans="1:16">
      <c r="A154" t="str">
        <f t="shared" si="10"/>
        <v/>
      </c>
      <c r="C154" t="str">
        <f t="shared" si="11"/>
        <v/>
      </c>
      <c r="D154" t="str">
        <f>IF(C154="","",(_xlfn.XLOOKUP(C154,'Loan Out'!A:A,'Loan Out'!J:J)))</f>
        <v/>
      </c>
      <c r="E154" t="str">
        <f>IF(C154="","",(_xlfn.XLOOKUP(C154,'Loan Out'!A:A,'Loan Out'!D:D)))</f>
        <v/>
      </c>
      <c r="F154" t="str">
        <f>IF(C154="","",(_xlfn.XLOOKUP(C154,'Loan Out'!A:A,'Loan Out'!E:E)))</f>
        <v/>
      </c>
      <c r="G154" t="str">
        <f>IF(C154="","",(_xlfn.XLOOKUP(C154,'Loan Out'!A:A,'Loan Out'!F:F)))</f>
        <v/>
      </c>
      <c r="H154" t="str">
        <f>IF(C154="","",(_xlfn.XLOOKUP(C154,'Loan Out'!A:A,'Loan Out'!G:G)))</f>
        <v/>
      </c>
      <c r="I154" t="str">
        <f>IF(C154="","",(_xlfn.XLOOKUP(C154,'Loan Out'!A:A,'Loan Out'!H:H)))</f>
        <v/>
      </c>
      <c r="J154" t="str">
        <f>IF(C154="","",(_xlfn.XLOOKUP(C154,'Loan Out'!A:A,'Loan Out'!I:I)))</f>
        <v/>
      </c>
      <c r="K154" t="str">
        <f>IF(C154="","",(_xlfn.XLOOKUP(C154,'Loan Out'!A:A,'Loan Out'!J:J)))</f>
        <v/>
      </c>
      <c r="L154" t="str">
        <f>IF(C154&lt;&gt;"",(SUMIF(Payments!C:C,C154,Payments!G:G)),"")</f>
        <v/>
      </c>
      <c r="M154" t="str">
        <f t="shared" si="12"/>
        <v/>
      </c>
      <c r="N154" t="str">
        <f t="shared" si="13"/>
        <v/>
      </c>
      <c r="O154" t="str">
        <f t="shared" si="14"/>
        <v/>
      </c>
      <c r="P154" s="1" t="str">
        <f>IF(B154&lt;&gt;"",(IF((_xlfn.XLOOKUP(C154,'Loan Out'!A:A,'Loan Out'!L:L))="Bad debt","Bad debt",IF(M154&gt;0,"Pending","Settled"))),"")</f>
        <v/>
      </c>
    </row>
    <row r="155" spans="1:16">
      <c r="A155" t="str">
        <f t="shared" si="10"/>
        <v/>
      </c>
      <c r="C155" t="str">
        <f t="shared" si="11"/>
        <v/>
      </c>
      <c r="D155" t="str">
        <f>IF(C155="","",(_xlfn.XLOOKUP(C155,'Loan Out'!A:A,'Loan Out'!J:J)))</f>
        <v/>
      </c>
      <c r="E155" t="str">
        <f>IF(C155="","",(_xlfn.XLOOKUP(C155,'Loan Out'!A:A,'Loan Out'!D:D)))</f>
        <v/>
      </c>
      <c r="F155" t="str">
        <f>IF(C155="","",(_xlfn.XLOOKUP(C155,'Loan Out'!A:A,'Loan Out'!E:E)))</f>
        <v/>
      </c>
      <c r="G155" t="str">
        <f>IF(C155="","",(_xlfn.XLOOKUP(C155,'Loan Out'!A:A,'Loan Out'!F:F)))</f>
        <v/>
      </c>
      <c r="H155" t="str">
        <f>IF(C155="","",(_xlfn.XLOOKUP(C155,'Loan Out'!A:A,'Loan Out'!G:G)))</f>
        <v/>
      </c>
      <c r="I155" t="str">
        <f>IF(C155="","",(_xlfn.XLOOKUP(C155,'Loan Out'!A:A,'Loan Out'!H:H)))</f>
        <v/>
      </c>
      <c r="J155" t="str">
        <f>IF(C155="","",(_xlfn.XLOOKUP(C155,'Loan Out'!A:A,'Loan Out'!I:I)))</f>
        <v/>
      </c>
      <c r="K155" t="str">
        <f>IF(C155="","",(_xlfn.XLOOKUP(C155,'Loan Out'!A:A,'Loan Out'!J:J)))</f>
        <v/>
      </c>
      <c r="L155" t="str">
        <f>IF(C155&lt;&gt;"",(SUMIF(Payments!C:C,C155,Payments!G:G)),"")</f>
        <v/>
      </c>
      <c r="M155" t="str">
        <f t="shared" si="12"/>
        <v/>
      </c>
      <c r="N155" t="str">
        <f t="shared" si="13"/>
        <v/>
      </c>
      <c r="O155" t="str">
        <f t="shared" si="14"/>
        <v/>
      </c>
      <c r="P155" s="1" t="str">
        <f>IF(B155&lt;&gt;"",(IF((_xlfn.XLOOKUP(C155,'Loan Out'!A:A,'Loan Out'!L:L))="Bad debt","Bad debt",IF(M155&gt;0,"Pending","Settled"))),"")</f>
        <v/>
      </c>
    </row>
    <row r="156" spans="1:16">
      <c r="A156" t="str">
        <f t="shared" si="10"/>
        <v/>
      </c>
      <c r="C156" t="str">
        <f t="shared" si="11"/>
        <v/>
      </c>
      <c r="D156" t="str">
        <f>IF(C156="","",(_xlfn.XLOOKUP(C156,'Loan Out'!A:A,'Loan Out'!J:J)))</f>
        <v/>
      </c>
      <c r="E156" t="str">
        <f>IF(C156="","",(_xlfn.XLOOKUP(C156,'Loan Out'!A:A,'Loan Out'!D:D)))</f>
        <v/>
      </c>
      <c r="F156" t="str">
        <f>IF(C156="","",(_xlfn.XLOOKUP(C156,'Loan Out'!A:A,'Loan Out'!E:E)))</f>
        <v/>
      </c>
      <c r="G156" t="str">
        <f>IF(C156="","",(_xlfn.XLOOKUP(C156,'Loan Out'!A:A,'Loan Out'!F:F)))</f>
        <v/>
      </c>
      <c r="H156" t="str">
        <f>IF(C156="","",(_xlfn.XLOOKUP(C156,'Loan Out'!A:A,'Loan Out'!G:G)))</f>
        <v/>
      </c>
      <c r="I156" t="str">
        <f>IF(C156="","",(_xlfn.XLOOKUP(C156,'Loan Out'!A:A,'Loan Out'!H:H)))</f>
        <v/>
      </c>
      <c r="J156" t="str">
        <f>IF(C156="","",(_xlfn.XLOOKUP(C156,'Loan Out'!A:A,'Loan Out'!I:I)))</f>
        <v/>
      </c>
      <c r="K156" t="str">
        <f>IF(C156="","",(_xlfn.XLOOKUP(C156,'Loan Out'!A:A,'Loan Out'!J:J)))</f>
        <v/>
      </c>
      <c r="L156" t="str">
        <f>IF(C156&lt;&gt;"",(SUMIF(Payments!C:C,C156,Payments!G:G)),"")</f>
        <v/>
      </c>
      <c r="M156" t="str">
        <f t="shared" si="12"/>
        <v/>
      </c>
      <c r="N156" t="str">
        <f t="shared" si="13"/>
        <v/>
      </c>
      <c r="O156" t="str">
        <f t="shared" si="14"/>
        <v/>
      </c>
      <c r="P156" s="1" t="str">
        <f>IF(B156&lt;&gt;"",(IF((_xlfn.XLOOKUP(C156,'Loan Out'!A:A,'Loan Out'!L:L))="Bad debt","Bad debt",IF(M156&gt;0,"Pending","Settled"))),"")</f>
        <v/>
      </c>
    </row>
    <row r="157" spans="1:16">
      <c r="A157" t="str">
        <f t="shared" si="10"/>
        <v/>
      </c>
      <c r="C157" t="str">
        <f t="shared" si="11"/>
        <v/>
      </c>
      <c r="D157" t="str">
        <f>IF(C157="","",(_xlfn.XLOOKUP(C157,'Loan Out'!A:A,'Loan Out'!J:J)))</f>
        <v/>
      </c>
      <c r="E157" t="str">
        <f>IF(C157="","",(_xlfn.XLOOKUP(C157,'Loan Out'!A:A,'Loan Out'!D:D)))</f>
        <v/>
      </c>
      <c r="F157" t="str">
        <f>IF(C157="","",(_xlfn.XLOOKUP(C157,'Loan Out'!A:A,'Loan Out'!E:E)))</f>
        <v/>
      </c>
      <c r="G157" t="str">
        <f>IF(C157="","",(_xlfn.XLOOKUP(C157,'Loan Out'!A:A,'Loan Out'!F:F)))</f>
        <v/>
      </c>
      <c r="H157" t="str">
        <f>IF(C157="","",(_xlfn.XLOOKUP(C157,'Loan Out'!A:A,'Loan Out'!G:G)))</f>
        <v/>
      </c>
      <c r="I157" t="str">
        <f>IF(C157="","",(_xlfn.XLOOKUP(C157,'Loan Out'!A:A,'Loan Out'!H:H)))</f>
        <v/>
      </c>
      <c r="J157" t="str">
        <f>IF(C157="","",(_xlfn.XLOOKUP(C157,'Loan Out'!A:A,'Loan Out'!I:I)))</f>
        <v/>
      </c>
      <c r="K157" t="str">
        <f>IF(C157="","",(_xlfn.XLOOKUP(C157,'Loan Out'!A:A,'Loan Out'!J:J)))</f>
        <v/>
      </c>
      <c r="L157" t="str">
        <f>IF(C157&lt;&gt;"",(SUMIF(Payments!C:C,C157,Payments!G:G)),"")</f>
        <v/>
      </c>
      <c r="M157" t="str">
        <f t="shared" si="12"/>
        <v/>
      </c>
      <c r="N157" t="str">
        <f t="shared" si="13"/>
        <v/>
      </c>
      <c r="O157" t="str">
        <f t="shared" si="14"/>
        <v/>
      </c>
      <c r="P157" s="1" t="str">
        <f>IF(B157&lt;&gt;"",(IF((_xlfn.XLOOKUP(C157,'Loan Out'!A:A,'Loan Out'!L:L))="Bad debt","Bad debt",IF(M157&gt;0,"Pending","Settled"))),"")</f>
        <v/>
      </c>
    </row>
    <row r="158" spans="1:16">
      <c r="A158" t="str">
        <f t="shared" si="10"/>
        <v/>
      </c>
      <c r="C158" t="str">
        <f t="shared" si="11"/>
        <v/>
      </c>
      <c r="D158" t="str">
        <f>IF(C158="","",(_xlfn.XLOOKUP(C158,'Loan Out'!A:A,'Loan Out'!J:J)))</f>
        <v/>
      </c>
      <c r="E158" t="str">
        <f>IF(C158="","",(_xlfn.XLOOKUP(C158,'Loan Out'!A:A,'Loan Out'!D:D)))</f>
        <v/>
      </c>
      <c r="F158" t="str">
        <f>IF(C158="","",(_xlfn.XLOOKUP(C158,'Loan Out'!A:A,'Loan Out'!E:E)))</f>
        <v/>
      </c>
      <c r="G158" t="str">
        <f>IF(C158="","",(_xlfn.XLOOKUP(C158,'Loan Out'!A:A,'Loan Out'!F:F)))</f>
        <v/>
      </c>
      <c r="H158" t="str">
        <f>IF(C158="","",(_xlfn.XLOOKUP(C158,'Loan Out'!A:A,'Loan Out'!G:G)))</f>
        <v/>
      </c>
      <c r="I158" t="str">
        <f>IF(C158="","",(_xlfn.XLOOKUP(C158,'Loan Out'!A:A,'Loan Out'!H:H)))</f>
        <v/>
      </c>
      <c r="J158" t="str">
        <f>IF(C158="","",(_xlfn.XLOOKUP(C158,'Loan Out'!A:A,'Loan Out'!I:I)))</f>
        <v/>
      </c>
      <c r="K158" t="str">
        <f>IF(C158="","",(_xlfn.XLOOKUP(C158,'Loan Out'!A:A,'Loan Out'!J:J)))</f>
        <v/>
      </c>
      <c r="L158" t="str">
        <f>IF(C158&lt;&gt;"",(SUMIF(Payments!C:C,C158,Payments!G:G)),"")</f>
        <v/>
      </c>
      <c r="M158" t="str">
        <f t="shared" si="12"/>
        <v/>
      </c>
      <c r="N158" t="str">
        <f t="shared" si="13"/>
        <v/>
      </c>
      <c r="O158" t="str">
        <f t="shared" si="14"/>
        <v/>
      </c>
      <c r="P158" s="1" t="str">
        <f>IF(B158&lt;&gt;"",(IF((_xlfn.XLOOKUP(C158,'Loan Out'!A:A,'Loan Out'!L:L))="Bad debt","Bad debt",IF(M158&gt;0,"Pending","Settled"))),"")</f>
        <v/>
      </c>
    </row>
    <row r="159" spans="1:16">
      <c r="A159" t="str">
        <f t="shared" si="10"/>
        <v/>
      </c>
      <c r="C159" t="str">
        <f t="shared" si="11"/>
        <v/>
      </c>
      <c r="D159" t="str">
        <f>IF(C159="","",(_xlfn.XLOOKUP(C159,'Loan Out'!A:A,'Loan Out'!J:J)))</f>
        <v/>
      </c>
      <c r="E159" t="str">
        <f>IF(C159="","",(_xlfn.XLOOKUP(C159,'Loan Out'!A:A,'Loan Out'!D:D)))</f>
        <v/>
      </c>
      <c r="F159" t="str">
        <f>IF(C159="","",(_xlfn.XLOOKUP(C159,'Loan Out'!A:A,'Loan Out'!E:E)))</f>
        <v/>
      </c>
      <c r="G159" t="str">
        <f>IF(C159="","",(_xlfn.XLOOKUP(C159,'Loan Out'!A:A,'Loan Out'!F:F)))</f>
        <v/>
      </c>
      <c r="H159" t="str">
        <f>IF(C159="","",(_xlfn.XLOOKUP(C159,'Loan Out'!A:A,'Loan Out'!G:G)))</f>
        <v/>
      </c>
      <c r="I159" t="str">
        <f>IF(C159="","",(_xlfn.XLOOKUP(C159,'Loan Out'!A:A,'Loan Out'!H:H)))</f>
        <v/>
      </c>
      <c r="J159" t="str">
        <f>IF(C159="","",(_xlfn.XLOOKUP(C159,'Loan Out'!A:A,'Loan Out'!I:I)))</f>
        <v/>
      </c>
      <c r="K159" t="str">
        <f>IF(C159="","",(_xlfn.XLOOKUP(C159,'Loan Out'!A:A,'Loan Out'!J:J)))</f>
        <v/>
      </c>
      <c r="L159" t="str">
        <f>IF(C159&lt;&gt;"",(SUMIF(Payments!C:C,C159,Payments!G:G)),"")</f>
        <v/>
      </c>
      <c r="M159" t="str">
        <f t="shared" si="12"/>
        <v/>
      </c>
      <c r="N159" t="str">
        <f t="shared" si="13"/>
        <v/>
      </c>
      <c r="O159" t="str">
        <f t="shared" si="14"/>
        <v/>
      </c>
      <c r="P159" s="1" t="str">
        <f>IF(B159&lt;&gt;"",(IF((_xlfn.XLOOKUP(C159,'Loan Out'!A:A,'Loan Out'!L:L))="Bad debt","Bad debt",IF(M159&gt;0,"Pending","Settled"))),"")</f>
        <v/>
      </c>
    </row>
    <row r="160" spans="1:16">
      <c r="A160" t="str">
        <f t="shared" si="10"/>
        <v/>
      </c>
      <c r="C160" t="str">
        <f t="shared" si="11"/>
        <v/>
      </c>
      <c r="D160" t="str">
        <f>IF(C160="","",(_xlfn.XLOOKUP(C160,'Loan Out'!A:A,'Loan Out'!J:J)))</f>
        <v/>
      </c>
      <c r="E160" t="str">
        <f>IF(C160="","",(_xlfn.XLOOKUP(C160,'Loan Out'!A:A,'Loan Out'!D:D)))</f>
        <v/>
      </c>
      <c r="F160" t="str">
        <f>IF(C160="","",(_xlfn.XLOOKUP(C160,'Loan Out'!A:A,'Loan Out'!E:E)))</f>
        <v/>
      </c>
      <c r="G160" t="str">
        <f>IF(C160="","",(_xlfn.XLOOKUP(C160,'Loan Out'!A:A,'Loan Out'!F:F)))</f>
        <v/>
      </c>
      <c r="H160" t="str">
        <f>IF(C160="","",(_xlfn.XLOOKUP(C160,'Loan Out'!A:A,'Loan Out'!G:G)))</f>
        <v/>
      </c>
      <c r="I160" t="str">
        <f>IF(C160="","",(_xlfn.XLOOKUP(C160,'Loan Out'!A:A,'Loan Out'!H:H)))</f>
        <v/>
      </c>
      <c r="J160" t="str">
        <f>IF(C160="","",(_xlfn.XLOOKUP(C160,'Loan Out'!A:A,'Loan Out'!I:I)))</f>
        <v/>
      </c>
      <c r="K160" t="str">
        <f>IF(C160="","",(_xlfn.XLOOKUP(C160,'Loan Out'!A:A,'Loan Out'!J:J)))</f>
        <v/>
      </c>
      <c r="L160" t="str">
        <f>IF(C160&lt;&gt;"",(SUMIF(Payments!C:C,C160,Payments!G:G)),"")</f>
        <v/>
      </c>
      <c r="M160" t="str">
        <f t="shared" si="12"/>
        <v/>
      </c>
      <c r="N160" t="str">
        <f t="shared" si="13"/>
        <v/>
      </c>
      <c r="O160" t="str">
        <f t="shared" si="14"/>
        <v/>
      </c>
      <c r="P160" s="1" t="str">
        <f>IF(B160&lt;&gt;"",(IF((_xlfn.XLOOKUP(C160,'Loan Out'!A:A,'Loan Out'!L:L))="Bad debt","Bad debt",IF(M160&gt;0,"Pending","Settled"))),"")</f>
        <v/>
      </c>
    </row>
    <row r="161" spans="1:16">
      <c r="A161" t="str">
        <f t="shared" si="10"/>
        <v/>
      </c>
      <c r="C161" t="str">
        <f t="shared" si="11"/>
        <v/>
      </c>
      <c r="D161" t="str">
        <f>IF(C161="","",(_xlfn.XLOOKUP(C161,'Loan Out'!A:A,'Loan Out'!J:J)))</f>
        <v/>
      </c>
      <c r="E161" t="str">
        <f>IF(C161="","",(_xlfn.XLOOKUP(C161,'Loan Out'!A:A,'Loan Out'!D:D)))</f>
        <v/>
      </c>
      <c r="F161" t="str">
        <f>IF(C161="","",(_xlfn.XLOOKUP(C161,'Loan Out'!A:A,'Loan Out'!E:E)))</f>
        <v/>
      </c>
      <c r="G161" t="str">
        <f>IF(C161="","",(_xlfn.XLOOKUP(C161,'Loan Out'!A:A,'Loan Out'!F:F)))</f>
        <v/>
      </c>
      <c r="H161" t="str">
        <f>IF(C161="","",(_xlfn.XLOOKUP(C161,'Loan Out'!A:A,'Loan Out'!G:G)))</f>
        <v/>
      </c>
      <c r="I161" t="str">
        <f>IF(C161="","",(_xlfn.XLOOKUP(C161,'Loan Out'!A:A,'Loan Out'!H:H)))</f>
        <v/>
      </c>
      <c r="J161" t="str">
        <f>IF(C161="","",(_xlfn.XLOOKUP(C161,'Loan Out'!A:A,'Loan Out'!I:I)))</f>
        <v/>
      </c>
      <c r="K161" t="str">
        <f>IF(C161="","",(_xlfn.XLOOKUP(C161,'Loan Out'!A:A,'Loan Out'!J:J)))</f>
        <v/>
      </c>
      <c r="L161" t="str">
        <f>IF(C161&lt;&gt;"",(SUMIF(Payments!C:C,C161,Payments!G:G)),"")</f>
        <v/>
      </c>
      <c r="M161" t="str">
        <f t="shared" si="12"/>
        <v/>
      </c>
      <c r="N161" t="str">
        <f t="shared" si="13"/>
        <v/>
      </c>
      <c r="O161" t="str">
        <f t="shared" si="14"/>
        <v/>
      </c>
      <c r="P161" s="1" t="str">
        <f>IF(B161&lt;&gt;"",(IF((_xlfn.XLOOKUP(C161,'Loan Out'!A:A,'Loan Out'!L:L))="Bad debt","Bad debt",IF(M161&gt;0,"Pending","Settled"))),"")</f>
        <v/>
      </c>
    </row>
    <row r="162" spans="1:16">
      <c r="A162" t="str">
        <f t="shared" si="10"/>
        <v/>
      </c>
      <c r="C162" t="str">
        <f t="shared" si="11"/>
        <v/>
      </c>
      <c r="D162" t="str">
        <f>IF(C162="","",(_xlfn.XLOOKUP(C162,'Loan Out'!A:A,'Loan Out'!J:J)))</f>
        <v/>
      </c>
      <c r="E162" t="str">
        <f>IF(C162="","",(_xlfn.XLOOKUP(C162,'Loan Out'!A:A,'Loan Out'!D:D)))</f>
        <v/>
      </c>
      <c r="F162" t="str">
        <f>IF(C162="","",(_xlfn.XLOOKUP(C162,'Loan Out'!A:A,'Loan Out'!E:E)))</f>
        <v/>
      </c>
      <c r="G162" t="str">
        <f>IF(C162="","",(_xlfn.XLOOKUP(C162,'Loan Out'!A:A,'Loan Out'!F:F)))</f>
        <v/>
      </c>
      <c r="H162" t="str">
        <f>IF(C162="","",(_xlfn.XLOOKUP(C162,'Loan Out'!A:A,'Loan Out'!G:G)))</f>
        <v/>
      </c>
      <c r="I162" t="str">
        <f>IF(C162="","",(_xlfn.XLOOKUP(C162,'Loan Out'!A:A,'Loan Out'!H:H)))</f>
        <v/>
      </c>
      <c r="J162" t="str">
        <f>IF(C162="","",(_xlfn.XLOOKUP(C162,'Loan Out'!A:A,'Loan Out'!I:I)))</f>
        <v/>
      </c>
      <c r="K162" t="str">
        <f>IF(C162="","",(_xlfn.XLOOKUP(C162,'Loan Out'!A:A,'Loan Out'!J:J)))</f>
        <v/>
      </c>
      <c r="L162" t="str">
        <f>IF(C162&lt;&gt;"",(SUMIF(Payments!C:C,C162,Payments!G:G)),"")</f>
        <v/>
      </c>
      <c r="M162" t="str">
        <f t="shared" si="12"/>
        <v/>
      </c>
      <c r="N162" t="str">
        <f t="shared" si="13"/>
        <v/>
      </c>
      <c r="O162" t="str">
        <f t="shared" si="14"/>
        <v/>
      </c>
      <c r="P162" s="1" t="str">
        <f>IF(B162&lt;&gt;"",(IF((_xlfn.XLOOKUP(C162,'Loan Out'!A:A,'Loan Out'!L:L))="Bad debt","Bad debt",IF(M162&gt;0,"Pending","Settled"))),"")</f>
        <v/>
      </c>
    </row>
    <row r="163" spans="1:16">
      <c r="A163" t="str">
        <f t="shared" si="10"/>
        <v/>
      </c>
      <c r="C163" t="str">
        <f t="shared" si="11"/>
        <v/>
      </c>
      <c r="D163" t="str">
        <f>IF(C163="","",(_xlfn.XLOOKUP(C163,'Loan Out'!A:A,'Loan Out'!J:J)))</f>
        <v/>
      </c>
      <c r="E163" t="str">
        <f>IF(C163="","",(_xlfn.XLOOKUP(C163,'Loan Out'!A:A,'Loan Out'!D:D)))</f>
        <v/>
      </c>
      <c r="F163" t="str">
        <f>IF(C163="","",(_xlfn.XLOOKUP(C163,'Loan Out'!A:A,'Loan Out'!E:E)))</f>
        <v/>
      </c>
      <c r="G163" t="str">
        <f>IF(C163="","",(_xlfn.XLOOKUP(C163,'Loan Out'!A:A,'Loan Out'!F:F)))</f>
        <v/>
      </c>
      <c r="H163" t="str">
        <f>IF(C163="","",(_xlfn.XLOOKUP(C163,'Loan Out'!A:A,'Loan Out'!G:G)))</f>
        <v/>
      </c>
      <c r="I163" t="str">
        <f>IF(C163="","",(_xlfn.XLOOKUP(C163,'Loan Out'!A:A,'Loan Out'!H:H)))</f>
        <v/>
      </c>
      <c r="J163" t="str">
        <f>IF(C163="","",(_xlfn.XLOOKUP(C163,'Loan Out'!A:A,'Loan Out'!I:I)))</f>
        <v/>
      </c>
      <c r="K163" t="str">
        <f>IF(C163="","",(_xlfn.XLOOKUP(C163,'Loan Out'!A:A,'Loan Out'!J:J)))</f>
        <v/>
      </c>
      <c r="L163" t="str">
        <f>IF(C163&lt;&gt;"",(SUMIF(Payments!C:C,C163,Payments!G:G)),"")</f>
        <v/>
      </c>
      <c r="M163" t="str">
        <f t="shared" si="12"/>
        <v/>
      </c>
      <c r="N163" t="str">
        <f t="shared" si="13"/>
        <v/>
      </c>
      <c r="O163" t="str">
        <f t="shared" si="14"/>
        <v/>
      </c>
      <c r="P163" s="1" t="str">
        <f>IF(B163&lt;&gt;"",(IF((_xlfn.XLOOKUP(C163,'Loan Out'!A:A,'Loan Out'!L:L))="Bad debt","Bad debt",IF(M163&gt;0,"Pending","Settled"))),"")</f>
        <v/>
      </c>
    </row>
    <row r="164" spans="1:16">
      <c r="A164" t="str">
        <f t="shared" si="10"/>
        <v/>
      </c>
      <c r="C164" t="str">
        <f t="shared" si="11"/>
        <v/>
      </c>
      <c r="D164" t="str">
        <f>IF(C164="","",(_xlfn.XLOOKUP(C164,'Loan Out'!A:A,'Loan Out'!J:J)))</f>
        <v/>
      </c>
      <c r="E164" t="str">
        <f>IF(C164="","",(_xlfn.XLOOKUP(C164,'Loan Out'!A:A,'Loan Out'!D:D)))</f>
        <v/>
      </c>
      <c r="F164" t="str">
        <f>IF(C164="","",(_xlfn.XLOOKUP(C164,'Loan Out'!A:A,'Loan Out'!E:E)))</f>
        <v/>
      </c>
      <c r="G164" t="str">
        <f>IF(C164="","",(_xlfn.XLOOKUP(C164,'Loan Out'!A:A,'Loan Out'!F:F)))</f>
        <v/>
      </c>
      <c r="H164" t="str">
        <f>IF(C164="","",(_xlfn.XLOOKUP(C164,'Loan Out'!A:A,'Loan Out'!G:G)))</f>
        <v/>
      </c>
      <c r="I164" t="str">
        <f>IF(C164="","",(_xlfn.XLOOKUP(C164,'Loan Out'!A:A,'Loan Out'!H:H)))</f>
        <v/>
      </c>
      <c r="J164" t="str">
        <f>IF(C164="","",(_xlfn.XLOOKUP(C164,'Loan Out'!A:A,'Loan Out'!I:I)))</f>
        <v/>
      </c>
      <c r="K164" t="str">
        <f>IF(C164="","",(_xlfn.XLOOKUP(C164,'Loan Out'!A:A,'Loan Out'!J:J)))</f>
        <v/>
      </c>
      <c r="L164" t="str">
        <f>IF(C164&lt;&gt;"",(SUMIF(Payments!C:C,C164,Payments!G:G)),"")</f>
        <v/>
      </c>
      <c r="M164" t="str">
        <f t="shared" si="12"/>
        <v/>
      </c>
      <c r="N164" t="str">
        <f t="shared" si="13"/>
        <v/>
      </c>
      <c r="O164" t="str">
        <f t="shared" si="14"/>
        <v/>
      </c>
      <c r="P164" s="1" t="str">
        <f>IF(B164&lt;&gt;"",(IF((_xlfn.XLOOKUP(C164,'Loan Out'!A:A,'Loan Out'!L:L))="Bad debt","Bad debt",IF(M164&gt;0,"Pending","Settled"))),"")</f>
        <v/>
      </c>
    </row>
    <row r="165" spans="1:16">
      <c r="A165" t="str">
        <f t="shared" si="10"/>
        <v/>
      </c>
      <c r="C165" t="str">
        <f t="shared" si="11"/>
        <v/>
      </c>
      <c r="D165" t="str">
        <f>IF(C165="","",(_xlfn.XLOOKUP(C165,'Loan Out'!A:A,'Loan Out'!J:J)))</f>
        <v/>
      </c>
      <c r="E165" t="str">
        <f>IF(C165="","",(_xlfn.XLOOKUP(C165,'Loan Out'!A:A,'Loan Out'!D:D)))</f>
        <v/>
      </c>
      <c r="F165" t="str">
        <f>IF(C165="","",(_xlfn.XLOOKUP(C165,'Loan Out'!A:A,'Loan Out'!E:E)))</f>
        <v/>
      </c>
      <c r="G165" t="str">
        <f>IF(C165="","",(_xlfn.XLOOKUP(C165,'Loan Out'!A:A,'Loan Out'!F:F)))</f>
        <v/>
      </c>
      <c r="H165" t="str">
        <f>IF(C165="","",(_xlfn.XLOOKUP(C165,'Loan Out'!A:A,'Loan Out'!G:G)))</f>
        <v/>
      </c>
      <c r="I165" t="str">
        <f>IF(C165="","",(_xlfn.XLOOKUP(C165,'Loan Out'!A:A,'Loan Out'!H:H)))</f>
        <v/>
      </c>
      <c r="J165" t="str">
        <f>IF(C165="","",(_xlfn.XLOOKUP(C165,'Loan Out'!A:A,'Loan Out'!I:I)))</f>
        <v/>
      </c>
      <c r="K165" t="str">
        <f>IF(C165="","",(_xlfn.XLOOKUP(C165,'Loan Out'!A:A,'Loan Out'!J:J)))</f>
        <v/>
      </c>
      <c r="L165" t="str">
        <f>IF(C165&lt;&gt;"",(SUMIF(Payments!C:C,C165,Payments!G:G)),"")</f>
        <v/>
      </c>
      <c r="M165" t="str">
        <f t="shared" si="12"/>
        <v/>
      </c>
      <c r="N165" t="str">
        <f t="shared" si="13"/>
        <v/>
      </c>
      <c r="O165" t="str">
        <f t="shared" si="14"/>
        <v/>
      </c>
      <c r="P165" s="1" t="str">
        <f>IF(B165&lt;&gt;"",(IF((_xlfn.XLOOKUP(C165,'Loan Out'!A:A,'Loan Out'!L:L))="Bad debt","Bad debt",IF(M165&gt;0,"Pending","Settled"))),"")</f>
        <v/>
      </c>
    </row>
    <row r="166" spans="1:16">
      <c r="A166" t="str">
        <f t="shared" si="10"/>
        <v/>
      </c>
      <c r="C166" t="str">
        <f t="shared" si="11"/>
        <v/>
      </c>
      <c r="D166" t="str">
        <f>IF(C166="","",(_xlfn.XLOOKUP(C166,'Loan Out'!A:A,'Loan Out'!J:J)))</f>
        <v/>
      </c>
      <c r="E166" t="str">
        <f>IF(C166="","",(_xlfn.XLOOKUP(C166,'Loan Out'!A:A,'Loan Out'!D:D)))</f>
        <v/>
      </c>
      <c r="F166" t="str">
        <f>IF(C166="","",(_xlfn.XLOOKUP(C166,'Loan Out'!A:A,'Loan Out'!E:E)))</f>
        <v/>
      </c>
      <c r="G166" t="str">
        <f>IF(C166="","",(_xlfn.XLOOKUP(C166,'Loan Out'!A:A,'Loan Out'!F:F)))</f>
        <v/>
      </c>
      <c r="H166" t="str">
        <f>IF(C166="","",(_xlfn.XLOOKUP(C166,'Loan Out'!A:A,'Loan Out'!G:G)))</f>
        <v/>
      </c>
      <c r="I166" t="str">
        <f>IF(C166="","",(_xlfn.XLOOKUP(C166,'Loan Out'!A:A,'Loan Out'!H:H)))</f>
        <v/>
      </c>
      <c r="J166" t="str">
        <f>IF(C166="","",(_xlfn.XLOOKUP(C166,'Loan Out'!A:A,'Loan Out'!I:I)))</f>
        <v/>
      </c>
      <c r="K166" t="str">
        <f>IF(C166="","",(_xlfn.XLOOKUP(C166,'Loan Out'!A:A,'Loan Out'!J:J)))</f>
        <v/>
      </c>
      <c r="L166" t="str">
        <f>IF(C166&lt;&gt;"",(SUMIF(Payments!C:C,C166,Payments!G:G)),"")</f>
        <v/>
      </c>
      <c r="M166" t="str">
        <f t="shared" si="12"/>
        <v/>
      </c>
      <c r="N166" t="str">
        <f t="shared" si="13"/>
        <v/>
      </c>
      <c r="O166" t="str">
        <f t="shared" si="14"/>
        <v/>
      </c>
      <c r="P166" s="1" t="str">
        <f>IF(B166&lt;&gt;"",(IF((_xlfn.XLOOKUP(C166,'Loan Out'!A:A,'Loan Out'!L:L))="Bad debt","Bad debt",IF(M166&gt;0,"Pending","Settled"))),"")</f>
        <v/>
      </c>
    </row>
    <row r="167" spans="1:16">
      <c r="A167" t="str">
        <f t="shared" si="10"/>
        <v/>
      </c>
      <c r="C167" t="str">
        <f t="shared" si="11"/>
        <v/>
      </c>
      <c r="D167" t="str">
        <f>IF(C167="","",(_xlfn.XLOOKUP(C167,'Loan Out'!A:A,'Loan Out'!J:J)))</f>
        <v/>
      </c>
      <c r="E167" t="str">
        <f>IF(C167="","",(_xlfn.XLOOKUP(C167,'Loan Out'!A:A,'Loan Out'!D:D)))</f>
        <v/>
      </c>
      <c r="F167" t="str">
        <f>IF(C167="","",(_xlfn.XLOOKUP(C167,'Loan Out'!A:A,'Loan Out'!E:E)))</f>
        <v/>
      </c>
      <c r="G167" t="str">
        <f>IF(C167="","",(_xlfn.XLOOKUP(C167,'Loan Out'!A:A,'Loan Out'!F:F)))</f>
        <v/>
      </c>
      <c r="H167" t="str">
        <f>IF(C167="","",(_xlfn.XLOOKUP(C167,'Loan Out'!A:A,'Loan Out'!G:G)))</f>
        <v/>
      </c>
      <c r="I167" t="str">
        <f>IF(C167="","",(_xlfn.XLOOKUP(C167,'Loan Out'!A:A,'Loan Out'!H:H)))</f>
        <v/>
      </c>
      <c r="J167" t="str">
        <f>IF(C167="","",(_xlfn.XLOOKUP(C167,'Loan Out'!A:A,'Loan Out'!I:I)))</f>
        <v/>
      </c>
      <c r="K167" t="str">
        <f>IF(C167="","",(_xlfn.XLOOKUP(C167,'Loan Out'!A:A,'Loan Out'!J:J)))</f>
        <v/>
      </c>
      <c r="L167" t="str">
        <f>IF(C167&lt;&gt;"",(SUMIF(Payments!C:C,C167,Payments!G:G)),"")</f>
        <v/>
      </c>
      <c r="M167" t="str">
        <f t="shared" si="12"/>
        <v/>
      </c>
      <c r="N167" t="str">
        <f t="shared" si="13"/>
        <v/>
      </c>
      <c r="O167" t="str">
        <f t="shared" si="14"/>
        <v/>
      </c>
      <c r="P167" s="1" t="str">
        <f>IF(B167&lt;&gt;"",(IF((_xlfn.XLOOKUP(C167,'Loan Out'!A:A,'Loan Out'!L:L))="Bad debt","Bad debt",IF(M167&gt;0,"Pending","Settled"))),"")</f>
        <v/>
      </c>
    </row>
    <row r="168" spans="1:16">
      <c r="A168" t="str">
        <f t="shared" si="10"/>
        <v/>
      </c>
      <c r="C168" t="str">
        <f t="shared" si="11"/>
        <v/>
      </c>
      <c r="D168" t="str">
        <f>IF(C168="","",(_xlfn.XLOOKUP(C168,'Loan Out'!A:A,'Loan Out'!J:J)))</f>
        <v/>
      </c>
      <c r="E168" t="str">
        <f>IF(C168="","",(_xlfn.XLOOKUP(C168,'Loan Out'!A:A,'Loan Out'!D:D)))</f>
        <v/>
      </c>
      <c r="F168" t="str">
        <f>IF(C168="","",(_xlfn.XLOOKUP(C168,'Loan Out'!A:A,'Loan Out'!E:E)))</f>
        <v/>
      </c>
      <c r="G168" t="str">
        <f>IF(C168="","",(_xlfn.XLOOKUP(C168,'Loan Out'!A:A,'Loan Out'!F:F)))</f>
        <v/>
      </c>
      <c r="H168" t="str">
        <f>IF(C168="","",(_xlfn.XLOOKUP(C168,'Loan Out'!A:A,'Loan Out'!G:G)))</f>
        <v/>
      </c>
      <c r="I168" t="str">
        <f>IF(C168="","",(_xlfn.XLOOKUP(C168,'Loan Out'!A:A,'Loan Out'!H:H)))</f>
        <v/>
      </c>
      <c r="J168" t="str">
        <f>IF(C168="","",(_xlfn.XLOOKUP(C168,'Loan Out'!A:A,'Loan Out'!I:I)))</f>
        <v/>
      </c>
      <c r="K168" t="str">
        <f>IF(C168="","",(_xlfn.XLOOKUP(C168,'Loan Out'!A:A,'Loan Out'!J:J)))</f>
        <v/>
      </c>
      <c r="L168" t="str">
        <f>IF(C168&lt;&gt;"",(SUMIF(Payments!C:C,C168,Payments!G:G)),"")</f>
        <v/>
      </c>
      <c r="M168" t="str">
        <f t="shared" si="12"/>
        <v/>
      </c>
      <c r="N168" t="str">
        <f t="shared" si="13"/>
        <v/>
      </c>
      <c r="O168" t="str">
        <f t="shared" si="14"/>
        <v/>
      </c>
      <c r="P168" s="1" t="str">
        <f>IF(B168&lt;&gt;"",(IF((_xlfn.XLOOKUP(C168,'Loan Out'!A:A,'Loan Out'!L:L))="Bad debt","Bad debt",IF(M168&gt;0,"Pending","Settled"))),"")</f>
        <v/>
      </c>
    </row>
    <row r="169" spans="1:16">
      <c r="A169" t="str">
        <f t="shared" si="10"/>
        <v/>
      </c>
      <c r="C169" t="str">
        <f t="shared" si="11"/>
        <v/>
      </c>
      <c r="D169" t="str">
        <f>IF(C169="","",(_xlfn.XLOOKUP(C169,'Loan Out'!A:A,'Loan Out'!J:J)))</f>
        <v/>
      </c>
      <c r="E169" t="str">
        <f>IF(C169="","",(_xlfn.XLOOKUP(C169,'Loan Out'!A:A,'Loan Out'!D:D)))</f>
        <v/>
      </c>
      <c r="F169" t="str">
        <f>IF(C169="","",(_xlfn.XLOOKUP(C169,'Loan Out'!A:A,'Loan Out'!E:E)))</f>
        <v/>
      </c>
      <c r="G169" t="str">
        <f>IF(C169="","",(_xlfn.XLOOKUP(C169,'Loan Out'!A:A,'Loan Out'!F:F)))</f>
        <v/>
      </c>
      <c r="H169" t="str">
        <f>IF(C169="","",(_xlfn.XLOOKUP(C169,'Loan Out'!A:A,'Loan Out'!G:G)))</f>
        <v/>
      </c>
      <c r="I169" t="str">
        <f>IF(C169="","",(_xlfn.XLOOKUP(C169,'Loan Out'!A:A,'Loan Out'!H:H)))</f>
        <v/>
      </c>
      <c r="J169" t="str">
        <f>IF(C169="","",(_xlfn.XLOOKUP(C169,'Loan Out'!A:A,'Loan Out'!I:I)))</f>
        <v/>
      </c>
      <c r="K169" t="str">
        <f>IF(C169="","",(_xlfn.XLOOKUP(C169,'Loan Out'!A:A,'Loan Out'!J:J)))</f>
        <v/>
      </c>
      <c r="L169" t="str">
        <f>IF(C169&lt;&gt;"",(SUMIF(Payments!C:C,C169,Payments!G:G)),"")</f>
        <v/>
      </c>
      <c r="M169" t="str">
        <f t="shared" si="12"/>
        <v/>
      </c>
      <c r="N169" t="str">
        <f t="shared" si="13"/>
        <v/>
      </c>
      <c r="O169" t="str">
        <f t="shared" si="14"/>
        <v/>
      </c>
      <c r="P169" s="1" t="str">
        <f>IF(B169&lt;&gt;"",(IF((_xlfn.XLOOKUP(C169,'Loan Out'!A:A,'Loan Out'!L:L))="Bad debt","Bad debt",IF(M169&gt;0,"Pending","Settled"))),"")</f>
        <v/>
      </c>
    </row>
    <row r="170" spans="1:16">
      <c r="A170" t="str">
        <f t="shared" si="10"/>
        <v/>
      </c>
      <c r="C170" t="str">
        <f t="shared" si="11"/>
        <v/>
      </c>
      <c r="D170" t="str">
        <f>IF(C170="","",(_xlfn.XLOOKUP(C170,'Loan Out'!A:A,'Loan Out'!J:J)))</f>
        <v/>
      </c>
      <c r="E170" t="str">
        <f>IF(C170="","",(_xlfn.XLOOKUP(C170,'Loan Out'!A:A,'Loan Out'!D:D)))</f>
        <v/>
      </c>
      <c r="F170" t="str">
        <f>IF(C170="","",(_xlfn.XLOOKUP(C170,'Loan Out'!A:A,'Loan Out'!E:E)))</f>
        <v/>
      </c>
      <c r="G170" t="str">
        <f>IF(C170="","",(_xlfn.XLOOKUP(C170,'Loan Out'!A:A,'Loan Out'!F:F)))</f>
        <v/>
      </c>
      <c r="H170" t="str">
        <f>IF(C170="","",(_xlfn.XLOOKUP(C170,'Loan Out'!A:A,'Loan Out'!G:G)))</f>
        <v/>
      </c>
      <c r="I170" t="str">
        <f>IF(C170="","",(_xlfn.XLOOKUP(C170,'Loan Out'!A:A,'Loan Out'!H:H)))</f>
        <v/>
      </c>
      <c r="J170" t="str">
        <f>IF(C170="","",(_xlfn.XLOOKUP(C170,'Loan Out'!A:A,'Loan Out'!I:I)))</f>
        <v/>
      </c>
      <c r="K170" t="str">
        <f>IF(C170="","",(_xlfn.XLOOKUP(C170,'Loan Out'!A:A,'Loan Out'!J:J)))</f>
        <v/>
      </c>
      <c r="L170" t="str">
        <f>IF(C170&lt;&gt;"",(SUMIF(Payments!C:C,C170,Payments!G:G)),"")</f>
        <v/>
      </c>
      <c r="M170" t="str">
        <f t="shared" si="12"/>
        <v/>
      </c>
      <c r="N170" t="str">
        <f t="shared" si="13"/>
        <v/>
      </c>
      <c r="O170" t="str">
        <f t="shared" si="14"/>
        <v/>
      </c>
      <c r="P170" s="1" t="str">
        <f>IF(B170&lt;&gt;"",(IF((_xlfn.XLOOKUP(C170,'Loan Out'!A:A,'Loan Out'!L:L))="Bad debt","Bad debt",IF(M170&gt;0,"Pending","Settled"))),"")</f>
        <v/>
      </c>
    </row>
    <row r="171" spans="1:16">
      <c r="A171" t="str">
        <f t="shared" si="10"/>
        <v/>
      </c>
      <c r="C171" t="str">
        <f t="shared" si="11"/>
        <v/>
      </c>
      <c r="D171" t="str">
        <f>IF(C171="","",(_xlfn.XLOOKUP(C171,'Loan Out'!A:A,'Loan Out'!J:J)))</f>
        <v/>
      </c>
      <c r="E171" t="str">
        <f>IF(C171="","",(_xlfn.XLOOKUP(C171,'Loan Out'!A:A,'Loan Out'!D:D)))</f>
        <v/>
      </c>
      <c r="F171" t="str">
        <f>IF(C171="","",(_xlfn.XLOOKUP(C171,'Loan Out'!A:A,'Loan Out'!E:E)))</f>
        <v/>
      </c>
      <c r="G171" t="str">
        <f>IF(C171="","",(_xlfn.XLOOKUP(C171,'Loan Out'!A:A,'Loan Out'!F:F)))</f>
        <v/>
      </c>
      <c r="H171" t="str">
        <f>IF(C171="","",(_xlfn.XLOOKUP(C171,'Loan Out'!A:A,'Loan Out'!G:G)))</f>
        <v/>
      </c>
      <c r="I171" t="str">
        <f>IF(C171="","",(_xlfn.XLOOKUP(C171,'Loan Out'!A:A,'Loan Out'!H:H)))</f>
        <v/>
      </c>
      <c r="J171" t="str">
        <f>IF(C171="","",(_xlfn.XLOOKUP(C171,'Loan Out'!A:A,'Loan Out'!I:I)))</f>
        <v/>
      </c>
      <c r="K171" t="str">
        <f>IF(C171="","",(_xlfn.XLOOKUP(C171,'Loan Out'!A:A,'Loan Out'!J:J)))</f>
        <v/>
      </c>
      <c r="L171" t="str">
        <f>IF(C171&lt;&gt;"",(SUMIF(Payments!C:C,C171,Payments!G:G)),"")</f>
        <v/>
      </c>
      <c r="M171" t="str">
        <f t="shared" si="12"/>
        <v/>
      </c>
      <c r="N171" t="str">
        <f t="shared" si="13"/>
        <v/>
      </c>
      <c r="O171" t="str">
        <f t="shared" si="14"/>
        <v/>
      </c>
      <c r="P171" s="1" t="str">
        <f>IF(B171&lt;&gt;"",(IF((_xlfn.XLOOKUP(C171,'Loan Out'!A:A,'Loan Out'!L:L))="Bad debt","Bad debt",IF(M171&gt;0,"Pending","Settled"))),"")</f>
        <v/>
      </c>
    </row>
    <row r="172" spans="1:16">
      <c r="A172" t="str">
        <f t="shared" si="10"/>
        <v/>
      </c>
      <c r="C172" t="str">
        <f t="shared" si="11"/>
        <v/>
      </c>
      <c r="D172" t="str">
        <f>IF(C172="","",(_xlfn.XLOOKUP(C172,'Loan Out'!A:A,'Loan Out'!J:J)))</f>
        <v/>
      </c>
      <c r="E172" t="str">
        <f>IF(C172="","",(_xlfn.XLOOKUP(C172,'Loan Out'!A:A,'Loan Out'!D:D)))</f>
        <v/>
      </c>
      <c r="F172" t="str">
        <f>IF(C172="","",(_xlfn.XLOOKUP(C172,'Loan Out'!A:A,'Loan Out'!E:E)))</f>
        <v/>
      </c>
      <c r="G172" t="str">
        <f>IF(C172="","",(_xlfn.XLOOKUP(C172,'Loan Out'!A:A,'Loan Out'!F:F)))</f>
        <v/>
      </c>
      <c r="H172" t="str">
        <f>IF(C172="","",(_xlfn.XLOOKUP(C172,'Loan Out'!A:A,'Loan Out'!G:G)))</f>
        <v/>
      </c>
      <c r="I172" t="str">
        <f>IF(C172="","",(_xlfn.XLOOKUP(C172,'Loan Out'!A:A,'Loan Out'!H:H)))</f>
        <v/>
      </c>
      <c r="J172" t="str">
        <f>IF(C172="","",(_xlfn.XLOOKUP(C172,'Loan Out'!A:A,'Loan Out'!I:I)))</f>
        <v/>
      </c>
      <c r="K172" t="str">
        <f>IF(C172="","",(_xlfn.XLOOKUP(C172,'Loan Out'!A:A,'Loan Out'!J:J)))</f>
        <v/>
      </c>
      <c r="L172" t="str">
        <f>IF(C172&lt;&gt;"",(SUMIF(Payments!C:C,C172,Payments!G:G)),"")</f>
        <v/>
      </c>
      <c r="M172" t="str">
        <f t="shared" si="12"/>
        <v/>
      </c>
      <c r="N172" t="str">
        <f t="shared" si="13"/>
        <v/>
      </c>
      <c r="O172" t="str">
        <f t="shared" si="14"/>
        <v/>
      </c>
      <c r="P172" s="1" t="str">
        <f>IF(B172&lt;&gt;"",(IF((_xlfn.XLOOKUP(C172,'Loan Out'!A:A,'Loan Out'!L:L))="Bad debt","Bad debt",IF(M172&gt;0,"Pending","Settled"))),"")</f>
        <v/>
      </c>
    </row>
    <row r="173" spans="1:16">
      <c r="A173" t="str">
        <f t="shared" si="10"/>
        <v/>
      </c>
      <c r="C173" t="str">
        <f t="shared" si="11"/>
        <v/>
      </c>
      <c r="D173" t="str">
        <f>IF(C173="","",(_xlfn.XLOOKUP(C173,'Loan Out'!A:A,'Loan Out'!J:J)))</f>
        <v/>
      </c>
      <c r="E173" t="str">
        <f>IF(C173="","",(_xlfn.XLOOKUP(C173,'Loan Out'!A:A,'Loan Out'!D:D)))</f>
        <v/>
      </c>
      <c r="F173" t="str">
        <f>IF(C173="","",(_xlfn.XLOOKUP(C173,'Loan Out'!A:A,'Loan Out'!E:E)))</f>
        <v/>
      </c>
      <c r="G173" t="str">
        <f>IF(C173="","",(_xlfn.XLOOKUP(C173,'Loan Out'!A:A,'Loan Out'!F:F)))</f>
        <v/>
      </c>
      <c r="H173" t="str">
        <f>IF(C173="","",(_xlfn.XLOOKUP(C173,'Loan Out'!A:A,'Loan Out'!G:G)))</f>
        <v/>
      </c>
      <c r="I173" t="str">
        <f>IF(C173="","",(_xlfn.XLOOKUP(C173,'Loan Out'!A:A,'Loan Out'!H:H)))</f>
        <v/>
      </c>
      <c r="J173" t="str">
        <f>IF(C173="","",(_xlfn.XLOOKUP(C173,'Loan Out'!A:A,'Loan Out'!I:I)))</f>
        <v/>
      </c>
      <c r="K173" t="str">
        <f>IF(C173="","",(_xlfn.XLOOKUP(C173,'Loan Out'!A:A,'Loan Out'!J:J)))</f>
        <v/>
      </c>
      <c r="L173" t="str">
        <f>IF(C173&lt;&gt;"",(SUMIF(Payments!C:C,C173,Payments!G:G)),"")</f>
        <v/>
      </c>
      <c r="M173" t="str">
        <f t="shared" si="12"/>
        <v/>
      </c>
      <c r="N173" t="str">
        <f t="shared" si="13"/>
        <v/>
      </c>
      <c r="O173" t="str">
        <f t="shared" si="14"/>
        <v/>
      </c>
      <c r="P173" s="1" t="str">
        <f>IF(B173&lt;&gt;"",(IF((_xlfn.XLOOKUP(C173,'Loan Out'!A:A,'Loan Out'!L:L))="Bad debt","Bad debt",IF(M173&gt;0,"Pending","Settled"))),"")</f>
        <v/>
      </c>
    </row>
    <row r="174" spans="1:16">
      <c r="A174" t="str">
        <f t="shared" si="10"/>
        <v/>
      </c>
      <c r="C174" t="str">
        <f t="shared" si="11"/>
        <v/>
      </c>
      <c r="D174" t="str">
        <f>IF(C174="","",(_xlfn.XLOOKUP(C174,'Loan Out'!A:A,'Loan Out'!J:J)))</f>
        <v/>
      </c>
      <c r="E174" t="str">
        <f>IF(C174="","",(_xlfn.XLOOKUP(C174,'Loan Out'!A:A,'Loan Out'!D:D)))</f>
        <v/>
      </c>
      <c r="F174" t="str">
        <f>IF(C174="","",(_xlfn.XLOOKUP(C174,'Loan Out'!A:A,'Loan Out'!E:E)))</f>
        <v/>
      </c>
      <c r="G174" t="str">
        <f>IF(C174="","",(_xlfn.XLOOKUP(C174,'Loan Out'!A:A,'Loan Out'!F:F)))</f>
        <v/>
      </c>
      <c r="H174" t="str">
        <f>IF(C174="","",(_xlfn.XLOOKUP(C174,'Loan Out'!A:A,'Loan Out'!G:G)))</f>
        <v/>
      </c>
      <c r="I174" t="str">
        <f>IF(C174="","",(_xlfn.XLOOKUP(C174,'Loan Out'!A:A,'Loan Out'!H:H)))</f>
        <v/>
      </c>
      <c r="J174" t="str">
        <f>IF(C174="","",(_xlfn.XLOOKUP(C174,'Loan Out'!A:A,'Loan Out'!I:I)))</f>
        <v/>
      </c>
      <c r="K174" t="str">
        <f>IF(C174="","",(_xlfn.XLOOKUP(C174,'Loan Out'!A:A,'Loan Out'!J:J)))</f>
        <v/>
      </c>
      <c r="L174" t="str">
        <f>IF(C174&lt;&gt;"",(SUMIF(Payments!C:C,C174,Payments!G:G)),"")</f>
        <v/>
      </c>
      <c r="M174" t="str">
        <f t="shared" si="12"/>
        <v/>
      </c>
      <c r="N174" t="str">
        <f t="shared" si="13"/>
        <v/>
      </c>
      <c r="O174" t="str">
        <f t="shared" si="14"/>
        <v/>
      </c>
      <c r="P174" s="1" t="str">
        <f>IF(B174&lt;&gt;"",(IF((_xlfn.XLOOKUP(C174,'Loan Out'!A:A,'Loan Out'!L:L))="Bad debt","Bad debt",IF(M174&gt;0,"Pending","Settled"))),"")</f>
        <v/>
      </c>
    </row>
    <row r="175" spans="1:16">
      <c r="A175" t="str">
        <f t="shared" si="10"/>
        <v/>
      </c>
      <c r="C175" t="str">
        <f t="shared" si="11"/>
        <v/>
      </c>
      <c r="D175" t="str">
        <f>IF(C175="","",(_xlfn.XLOOKUP(C175,'Loan Out'!A:A,'Loan Out'!J:J)))</f>
        <v/>
      </c>
      <c r="E175" t="str">
        <f>IF(C175="","",(_xlfn.XLOOKUP(C175,'Loan Out'!A:A,'Loan Out'!D:D)))</f>
        <v/>
      </c>
      <c r="F175" t="str">
        <f>IF(C175="","",(_xlfn.XLOOKUP(C175,'Loan Out'!A:A,'Loan Out'!E:E)))</f>
        <v/>
      </c>
      <c r="G175" t="str">
        <f>IF(C175="","",(_xlfn.XLOOKUP(C175,'Loan Out'!A:A,'Loan Out'!F:F)))</f>
        <v/>
      </c>
      <c r="H175" t="str">
        <f>IF(C175="","",(_xlfn.XLOOKUP(C175,'Loan Out'!A:A,'Loan Out'!G:G)))</f>
        <v/>
      </c>
      <c r="I175" t="str">
        <f>IF(C175="","",(_xlfn.XLOOKUP(C175,'Loan Out'!A:A,'Loan Out'!H:H)))</f>
        <v/>
      </c>
      <c r="J175" t="str">
        <f>IF(C175="","",(_xlfn.XLOOKUP(C175,'Loan Out'!A:A,'Loan Out'!I:I)))</f>
        <v/>
      </c>
      <c r="K175" t="str">
        <f>IF(C175="","",(_xlfn.XLOOKUP(C175,'Loan Out'!A:A,'Loan Out'!J:J)))</f>
        <v/>
      </c>
      <c r="L175" t="str">
        <f>IF(C175&lt;&gt;"",(SUMIF(Payments!C:C,C175,Payments!G:G)),"")</f>
        <v/>
      </c>
      <c r="M175" t="str">
        <f t="shared" si="12"/>
        <v/>
      </c>
      <c r="N175" t="str">
        <f t="shared" si="13"/>
        <v/>
      </c>
      <c r="O175" t="str">
        <f t="shared" si="14"/>
        <v/>
      </c>
      <c r="P175" s="1" t="str">
        <f>IF(B175&lt;&gt;"",(IF((_xlfn.XLOOKUP(C175,'Loan Out'!A:A,'Loan Out'!L:L))="Bad debt","Bad debt",IF(M175&gt;0,"Pending","Settled"))),"")</f>
        <v/>
      </c>
    </row>
    <row r="176" spans="1:16">
      <c r="A176" t="str">
        <f t="shared" si="10"/>
        <v/>
      </c>
      <c r="C176" t="str">
        <f t="shared" si="11"/>
        <v/>
      </c>
      <c r="D176" t="str">
        <f>IF(C176="","",(_xlfn.XLOOKUP(C176,'Loan Out'!A:A,'Loan Out'!J:J)))</f>
        <v/>
      </c>
      <c r="E176" t="str">
        <f>IF(C176="","",(_xlfn.XLOOKUP(C176,'Loan Out'!A:A,'Loan Out'!D:D)))</f>
        <v/>
      </c>
      <c r="F176" t="str">
        <f>IF(C176="","",(_xlfn.XLOOKUP(C176,'Loan Out'!A:A,'Loan Out'!E:E)))</f>
        <v/>
      </c>
      <c r="G176" t="str">
        <f>IF(C176="","",(_xlfn.XLOOKUP(C176,'Loan Out'!A:A,'Loan Out'!F:F)))</f>
        <v/>
      </c>
      <c r="H176" t="str">
        <f>IF(C176="","",(_xlfn.XLOOKUP(C176,'Loan Out'!A:A,'Loan Out'!G:G)))</f>
        <v/>
      </c>
      <c r="I176" t="str">
        <f>IF(C176="","",(_xlfn.XLOOKUP(C176,'Loan Out'!A:A,'Loan Out'!H:H)))</f>
        <v/>
      </c>
      <c r="J176" t="str">
        <f>IF(C176="","",(_xlfn.XLOOKUP(C176,'Loan Out'!A:A,'Loan Out'!I:I)))</f>
        <v/>
      </c>
      <c r="K176" t="str">
        <f>IF(C176="","",(_xlfn.XLOOKUP(C176,'Loan Out'!A:A,'Loan Out'!J:J)))</f>
        <v/>
      </c>
      <c r="L176" t="str">
        <f>IF(C176&lt;&gt;"",(SUMIF(Payments!C:C,C176,Payments!G:G)),"")</f>
        <v/>
      </c>
      <c r="M176" t="str">
        <f t="shared" si="12"/>
        <v/>
      </c>
      <c r="N176" t="str">
        <f t="shared" si="13"/>
        <v/>
      </c>
      <c r="O176" t="str">
        <f t="shared" si="14"/>
        <v/>
      </c>
      <c r="P176" s="1" t="str">
        <f>IF(B176&lt;&gt;"",(IF((_xlfn.XLOOKUP(C176,'Loan Out'!A:A,'Loan Out'!L:L))="Bad debt","Bad debt",IF(M176&gt;0,"Pending","Settled"))),"")</f>
        <v/>
      </c>
    </row>
    <row r="177" spans="1:16">
      <c r="A177" t="str">
        <f t="shared" si="10"/>
        <v/>
      </c>
      <c r="C177" t="str">
        <f t="shared" si="11"/>
        <v/>
      </c>
      <c r="D177" t="str">
        <f>IF(C177="","",(_xlfn.XLOOKUP(C177,'Loan Out'!A:A,'Loan Out'!J:J)))</f>
        <v/>
      </c>
      <c r="E177" t="str">
        <f>IF(C177="","",(_xlfn.XLOOKUP(C177,'Loan Out'!A:A,'Loan Out'!D:D)))</f>
        <v/>
      </c>
      <c r="F177" t="str">
        <f>IF(C177="","",(_xlfn.XLOOKUP(C177,'Loan Out'!A:A,'Loan Out'!E:E)))</f>
        <v/>
      </c>
      <c r="G177" t="str">
        <f>IF(C177="","",(_xlfn.XLOOKUP(C177,'Loan Out'!A:A,'Loan Out'!F:F)))</f>
        <v/>
      </c>
      <c r="H177" t="str">
        <f>IF(C177="","",(_xlfn.XLOOKUP(C177,'Loan Out'!A:A,'Loan Out'!G:G)))</f>
        <v/>
      </c>
      <c r="I177" t="str">
        <f>IF(C177="","",(_xlfn.XLOOKUP(C177,'Loan Out'!A:A,'Loan Out'!H:H)))</f>
        <v/>
      </c>
      <c r="J177" t="str">
        <f>IF(C177="","",(_xlfn.XLOOKUP(C177,'Loan Out'!A:A,'Loan Out'!I:I)))</f>
        <v/>
      </c>
      <c r="K177" t="str">
        <f>IF(C177="","",(_xlfn.XLOOKUP(C177,'Loan Out'!A:A,'Loan Out'!J:J)))</f>
        <v/>
      </c>
      <c r="L177" t="str">
        <f>IF(C177&lt;&gt;"",(SUMIF(Payments!C:C,C177,Payments!G:G)),"")</f>
        <v/>
      </c>
      <c r="M177" t="str">
        <f t="shared" si="12"/>
        <v/>
      </c>
      <c r="N177" t="str">
        <f t="shared" si="13"/>
        <v/>
      </c>
      <c r="O177" t="str">
        <f t="shared" si="14"/>
        <v/>
      </c>
      <c r="P177" s="1" t="str">
        <f>IF(B177&lt;&gt;"",(IF((_xlfn.XLOOKUP(C177,'Loan Out'!A:A,'Loan Out'!L:L))="Bad debt","Bad debt",IF(M177&gt;0,"Pending","Settled"))),"")</f>
        <v/>
      </c>
    </row>
    <row r="178" spans="1:16">
      <c r="A178" t="str">
        <f t="shared" si="10"/>
        <v/>
      </c>
      <c r="C178" t="str">
        <f t="shared" si="11"/>
        <v/>
      </c>
      <c r="D178" t="str">
        <f>IF(C178="","",(_xlfn.XLOOKUP(C178,'Loan Out'!A:A,'Loan Out'!J:J)))</f>
        <v/>
      </c>
      <c r="E178" t="str">
        <f>IF(C178="","",(_xlfn.XLOOKUP(C178,'Loan Out'!A:A,'Loan Out'!D:D)))</f>
        <v/>
      </c>
      <c r="F178" t="str">
        <f>IF(C178="","",(_xlfn.XLOOKUP(C178,'Loan Out'!A:A,'Loan Out'!E:E)))</f>
        <v/>
      </c>
      <c r="G178" t="str">
        <f>IF(C178="","",(_xlfn.XLOOKUP(C178,'Loan Out'!A:A,'Loan Out'!F:F)))</f>
        <v/>
      </c>
      <c r="H178" t="str">
        <f>IF(C178="","",(_xlfn.XLOOKUP(C178,'Loan Out'!A:A,'Loan Out'!G:G)))</f>
        <v/>
      </c>
      <c r="I178" t="str">
        <f>IF(C178="","",(_xlfn.XLOOKUP(C178,'Loan Out'!A:A,'Loan Out'!H:H)))</f>
        <v/>
      </c>
      <c r="J178" t="str">
        <f>IF(C178="","",(_xlfn.XLOOKUP(C178,'Loan Out'!A:A,'Loan Out'!I:I)))</f>
        <v/>
      </c>
      <c r="K178" t="str">
        <f>IF(C178="","",(_xlfn.XLOOKUP(C178,'Loan Out'!A:A,'Loan Out'!J:J)))</f>
        <v/>
      </c>
      <c r="L178" t="str">
        <f>IF(C178&lt;&gt;"",(SUMIF(Payments!C:C,C178,Payments!G:G)),"")</f>
        <v/>
      </c>
      <c r="M178" t="str">
        <f t="shared" si="12"/>
        <v/>
      </c>
      <c r="N178" t="str">
        <f t="shared" si="13"/>
        <v/>
      </c>
      <c r="O178" t="str">
        <f t="shared" si="14"/>
        <v/>
      </c>
      <c r="P178" s="1" t="str">
        <f>IF(B178&lt;&gt;"",(IF((_xlfn.XLOOKUP(C178,'Loan Out'!A:A,'Loan Out'!L:L))="Bad debt","Bad debt",IF(M178&gt;0,"Pending","Settled"))),"")</f>
        <v/>
      </c>
    </row>
    <row r="179" spans="1:16">
      <c r="A179" t="str">
        <f t="shared" si="10"/>
        <v/>
      </c>
      <c r="C179" t="str">
        <f t="shared" si="11"/>
        <v/>
      </c>
      <c r="D179" t="str">
        <f>IF(C179="","",(_xlfn.XLOOKUP(C179,'Loan Out'!A:A,'Loan Out'!J:J)))</f>
        <v/>
      </c>
      <c r="E179" t="str">
        <f>IF(C179="","",(_xlfn.XLOOKUP(C179,'Loan Out'!A:A,'Loan Out'!D:D)))</f>
        <v/>
      </c>
      <c r="F179" t="str">
        <f>IF(C179="","",(_xlfn.XLOOKUP(C179,'Loan Out'!A:A,'Loan Out'!E:E)))</f>
        <v/>
      </c>
      <c r="G179" t="str">
        <f>IF(C179="","",(_xlfn.XLOOKUP(C179,'Loan Out'!A:A,'Loan Out'!F:F)))</f>
        <v/>
      </c>
      <c r="H179" t="str">
        <f>IF(C179="","",(_xlfn.XLOOKUP(C179,'Loan Out'!A:A,'Loan Out'!G:G)))</f>
        <v/>
      </c>
      <c r="I179" t="str">
        <f>IF(C179="","",(_xlfn.XLOOKUP(C179,'Loan Out'!A:A,'Loan Out'!H:H)))</f>
        <v/>
      </c>
      <c r="J179" t="str">
        <f>IF(C179="","",(_xlfn.XLOOKUP(C179,'Loan Out'!A:A,'Loan Out'!I:I)))</f>
        <v/>
      </c>
      <c r="K179" t="str">
        <f>IF(C179="","",(_xlfn.XLOOKUP(C179,'Loan Out'!A:A,'Loan Out'!J:J)))</f>
        <v/>
      </c>
      <c r="L179" t="str">
        <f>IF(C179&lt;&gt;"",(SUMIF(Payments!C:C,C179,Payments!G:G)),"")</f>
        <v/>
      </c>
      <c r="M179" t="str">
        <f t="shared" si="12"/>
        <v/>
      </c>
      <c r="N179" t="str">
        <f t="shared" si="13"/>
        <v/>
      </c>
      <c r="O179" t="str">
        <f t="shared" si="14"/>
        <v/>
      </c>
      <c r="P179" s="1" t="str">
        <f>IF(B179&lt;&gt;"",(IF((_xlfn.XLOOKUP(C179,'Loan Out'!A:A,'Loan Out'!L:L))="Bad debt","Bad debt",IF(M179&gt;0,"Pending","Settled"))),"")</f>
        <v/>
      </c>
    </row>
    <row r="180" spans="1:16">
      <c r="A180" t="str">
        <f t="shared" si="10"/>
        <v/>
      </c>
      <c r="C180" t="str">
        <f t="shared" si="11"/>
        <v/>
      </c>
      <c r="D180" t="str">
        <f>IF(C180="","",(_xlfn.XLOOKUP(C180,'Loan Out'!A:A,'Loan Out'!J:J)))</f>
        <v/>
      </c>
      <c r="E180" t="str">
        <f>IF(C180="","",(_xlfn.XLOOKUP(C180,'Loan Out'!A:A,'Loan Out'!D:D)))</f>
        <v/>
      </c>
      <c r="F180" t="str">
        <f>IF(C180="","",(_xlfn.XLOOKUP(C180,'Loan Out'!A:A,'Loan Out'!E:E)))</f>
        <v/>
      </c>
      <c r="G180" t="str">
        <f>IF(C180="","",(_xlfn.XLOOKUP(C180,'Loan Out'!A:A,'Loan Out'!F:F)))</f>
        <v/>
      </c>
      <c r="H180" t="str">
        <f>IF(C180="","",(_xlfn.XLOOKUP(C180,'Loan Out'!A:A,'Loan Out'!G:G)))</f>
        <v/>
      </c>
      <c r="I180" t="str">
        <f>IF(C180="","",(_xlfn.XLOOKUP(C180,'Loan Out'!A:A,'Loan Out'!H:H)))</f>
        <v/>
      </c>
      <c r="J180" t="str">
        <f>IF(C180="","",(_xlfn.XLOOKUP(C180,'Loan Out'!A:A,'Loan Out'!I:I)))</f>
        <v/>
      </c>
      <c r="K180" t="str">
        <f>IF(C180="","",(_xlfn.XLOOKUP(C180,'Loan Out'!A:A,'Loan Out'!J:J)))</f>
        <v/>
      </c>
      <c r="L180" t="str">
        <f>IF(C180&lt;&gt;"",(SUMIF(Payments!C:C,C180,Payments!G:G)),"")</f>
        <v/>
      </c>
      <c r="M180" t="str">
        <f t="shared" si="12"/>
        <v/>
      </c>
      <c r="N180" t="str">
        <f t="shared" si="13"/>
        <v/>
      </c>
      <c r="O180" t="str">
        <f t="shared" si="14"/>
        <v/>
      </c>
      <c r="P180" s="1" t="str">
        <f>IF(B180&lt;&gt;"",(IF((_xlfn.XLOOKUP(C180,'Loan Out'!A:A,'Loan Out'!L:L))="Bad debt","Bad debt",IF(M180&gt;0,"Pending","Settled"))),"")</f>
        <v/>
      </c>
    </row>
    <row r="181" spans="1:16">
      <c r="A181" t="str">
        <f t="shared" si="10"/>
        <v/>
      </c>
      <c r="C181" t="str">
        <f t="shared" si="11"/>
        <v/>
      </c>
      <c r="D181" t="str">
        <f>IF(C181="","",(_xlfn.XLOOKUP(C181,'Loan Out'!A:A,'Loan Out'!J:J)))</f>
        <v/>
      </c>
      <c r="E181" t="str">
        <f>IF(C181="","",(_xlfn.XLOOKUP(C181,'Loan Out'!A:A,'Loan Out'!D:D)))</f>
        <v/>
      </c>
      <c r="F181" t="str">
        <f>IF(C181="","",(_xlfn.XLOOKUP(C181,'Loan Out'!A:A,'Loan Out'!E:E)))</f>
        <v/>
      </c>
      <c r="G181" t="str">
        <f>IF(C181="","",(_xlfn.XLOOKUP(C181,'Loan Out'!A:A,'Loan Out'!F:F)))</f>
        <v/>
      </c>
      <c r="H181" t="str">
        <f>IF(C181="","",(_xlfn.XLOOKUP(C181,'Loan Out'!A:A,'Loan Out'!G:G)))</f>
        <v/>
      </c>
      <c r="I181" t="str">
        <f>IF(C181="","",(_xlfn.XLOOKUP(C181,'Loan Out'!A:A,'Loan Out'!H:H)))</f>
        <v/>
      </c>
      <c r="J181" t="str">
        <f>IF(C181="","",(_xlfn.XLOOKUP(C181,'Loan Out'!A:A,'Loan Out'!I:I)))</f>
        <v/>
      </c>
      <c r="K181" t="str">
        <f>IF(C181="","",(_xlfn.XLOOKUP(C181,'Loan Out'!A:A,'Loan Out'!J:J)))</f>
        <v/>
      </c>
      <c r="L181" t="str">
        <f>IF(C181&lt;&gt;"",(SUMIF(Payments!C:C,C181,Payments!G:G)),"")</f>
        <v/>
      </c>
      <c r="M181" t="str">
        <f t="shared" si="12"/>
        <v/>
      </c>
      <c r="N181" t="str">
        <f t="shared" si="13"/>
        <v/>
      </c>
      <c r="O181" t="str">
        <f t="shared" si="14"/>
        <v/>
      </c>
      <c r="P181" s="1" t="str">
        <f>IF(B181&lt;&gt;"",(IF((_xlfn.XLOOKUP(C181,'Loan Out'!A:A,'Loan Out'!L:L))="Bad debt","Bad debt",IF(M181&gt;0,"Pending","Settled"))),"")</f>
        <v/>
      </c>
    </row>
    <row r="182" spans="1:16">
      <c r="A182" t="str">
        <f t="shared" si="10"/>
        <v/>
      </c>
      <c r="C182" t="str">
        <f t="shared" si="11"/>
        <v/>
      </c>
      <c r="D182" t="str">
        <f>IF(C182="","",(_xlfn.XLOOKUP(C182,'Loan Out'!A:A,'Loan Out'!J:J)))</f>
        <v/>
      </c>
      <c r="E182" t="str">
        <f>IF(C182="","",(_xlfn.XLOOKUP(C182,'Loan Out'!A:A,'Loan Out'!D:D)))</f>
        <v/>
      </c>
      <c r="F182" t="str">
        <f>IF(C182="","",(_xlfn.XLOOKUP(C182,'Loan Out'!A:A,'Loan Out'!E:E)))</f>
        <v/>
      </c>
      <c r="G182" t="str">
        <f>IF(C182="","",(_xlfn.XLOOKUP(C182,'Loan Out'!A:A,'Loan Out'!F:F)))</f>
        <v/>
      </c>
      <c r="H182" t="str">
        <f>IF(C182="","",(_xlfn.XLOOKUP(C182,'Loan Out'!A:A,'Loan Out'!G:G)))</f>
        <v/>
      </c>
      <c r="I182" t="str">
        <f>IF(C182="","",(_xlfn.XLOOKUP(C182,'Loan Out'!A:A,'Loan Out'!H:H)))</f>
        <v/>
      </c>
      <c r="J182" t="str">
        <f>IF(C182="","",(_xlfn.XLOOKUP(C182,'Loan Out'!A:A,'Loan Out'!I:I)))</f>
        <v/>
      </c>
      <c r="K182" t="str">
        <f>IF(C182="","",(_xlfn.XLOOKUP(C182,'Loan Out'!A:A,'Loan Out'!J:J)))</f>
        <v/>
      </c>
      <c r="L182" t="str">
        <f>IF(C182&lt;&gt;"",(SUMIF(Payments!C:C,C182,Payments!G:G)),"")</f>
        <v/>
      </c>
      <c r="M182" t="str">
        <f t="shared" si="12"/>
        <v/>
      </c>
      <c r="N182" t="str">
        <f t="shared" si="13"/>
        <v/>
      </c>
      <c r="O182" t="str">
        <f t="shared" si="14"/>
        <v/>
      </c>
      <c r="P182" s="1" t="str">
        <f>IF(B182&lt;&gt;"",(IF((_xlfn.XLOOKUP(C182,'Loan Out'!A:A,'Loan Out'!L:L))="Bad debt","Bad debt",IF(M182&gt;0,"Pending","Settled"))),"")</f>
        <v/>
      </c>
    </row>
    <row r="183" spans="1:16">
      <c r="A183" t="str">
        <f t="shared" si="10"/>
        <v/>
      </c>
      <c r="C183" t="str">
        <f t="shared" si="11"/>
        <v/>
      </c>
      <c r="D183" t="str">
        <f>IF(C183="","",(_xlfn.XLOOKUP(C183,'Loan Out'!A:A,'Loan Out'!J:J)))</f>
        <v/>
      </c>
      <c r="E183" t="str">
        <f>IF(C183="","",(_xlfn.XLOOKUP(C183,'Loan Out'!A:A,'Loan Out'!D:D)))</f>
        <v/>
      </c>
      <c r="F183" t="str">
        <f>IF(C183="","",(_xlfn.XLOOKUP(C183,'Loan Out'!A:A,'Loan Out'!E:E)))</f>
        <v/>
      </c>
      <c r="G183" t="str">
        <f>IF(C183="","",(_xlfn.XLOOKUP(C183,'Loan Out'!A:A,'Loan Out'!F:F)))</f>
        <v/>
      </c>
      <c r="H183" t="str">
        <f>IF(C183="","",(_xlfn.XLOOKUP(C183,'Loan Out'!A:A,'Loan Out'!G:G)))</f>
        <v/>
      </c>
      <c r="I183" t="str">
        <f>IF(C183="","",(_xlfn.XLOOKUP(C183,'Loan Out'!A:A,'Loan Out'!H:H)))</f>
        <v/>
      </c>
      <c r="J183" t="str">
        <f>IF(C183="","",(_xlfn.XLOOKUP(C183,'Loan Out'!A:A,'Loan Out'!I:I)))</f>
        <v/>
      </c>
      <c r="K183" t="str">
        <f>IF(C183="","",(_xlfn.XLOOKUP(C183,'Loan Out'!A:A,'Loan Out'!J:J)))</f>
        <v/>
      </c>
      <c r="L183" t="str">
        <f>IF(C183&lt;&gt;"",(SUMIF(Payments!C:C,C183,Payments!G:G)),"")</f>
        <v/>
      </c>
      <c r="M183" t="str">
        <f t="shared" si="12"/>
        <v/>
      </c>
      <c r="N183" t="str">
        <f t="shared" si="13"/>
        <v/>
      </c>
      <c r="O183" t="str">
        <f t="shared" si="14"/>
        <v/>
      </c>
      <c r="P183" s="1" t="str">
        <f>IF(B183&lt;&gt;"",(IF((_xlfn.XLOOKUP(C183,'Loan Out'!A:A,'Loan Out'!L:L))="Bad debt","Bad debt",IF(M183&gt;0,"Pending","Settled"))),"")</f>
        <v/>
      </c>
    </row>
    <row r="184" spans="1:16">
      <c r="A184" t="str">
        <f t="shared" si="10"/>
        <v/>
      </c>
      <c r="C184" t="str">
        <f t="shared" si="11"/>
        <v/>
      </c>
      <c r="D184" t="str">
        <f>IF(C184="","",(_xlfn.XLOOKUP(C184,'Loan Out'!A:A,'Loan Out'!J:J)))</f>
        <v/>
      </c>
      <c r="E184" t="str">
        <f>IF(C184="","",(_xlfn.XLOOKUP(C184,'Loan Out'!A:A,'Loan Out'!D:D)))</f>
        <v/>
      </c>
      <c r="F184" t="str">
        <f>IF(C184="","",(_xlfn.XLOOKUP(C184,'Loan Out'!A:A,'Loan Out'!E:E)))</f>
        <v/>
      </c>
      <c r="G184" t="str">
        <f>IF(C184="","",(_xlfn.XLOOKUP(C184,'Loan Out'!A:A,'Loan Out'!F:F)))</f>
        <v/>
      </c>
      <c r="H184" t="str">
        <f>IF(C184="","",(_xlfn.XLOOKUP(C184,'Loan Out'!A:A,'Loan Out'!G:G)))</f>
        <v/>
      </c>
      <c r="I184" t="str">
        <f>IF(C184="","",(_xlfn.XLOOKUP(C184,'Loan Out'!A:A,'Loan Out'!H:H)))</f>
        <v/>
      </c>
      <c r="J184" t="str">
        <f>IF(C184="","",(_xlfn.XLOOKUP(C184,'Loan Out'!A:A,'Loan Out'!I:I)))</f>
        <v/>
      </c>
      <c r="K184" t="str">
        <f>IF(C184="","",(_xlfn.XLOOKUP(C184,'Loan Out'!A:A,'Loan Out'!J:J)))</f>
        <v/>
      </c>
      <c r="L184" t="str">
        <f>IF(C184&lt;&gt;"",(SUMIF(Payments!C:C,C184,Payments!G:G)),"")</f>
        <v/>
      </c>
      <c r="M184" t="str">
        <f t="shared" si="12"/>
        <v/>
      </c>
      <c r="N184" t="str">
        <f t="shared" si="13"/>
        <v/>
      </c>
      <c r="O184" t="str">
        <f t="shared" si="14"/>
        <v/>
      </c>
      <c r="P184" s="1" t="str">
        <f>IF(B184&lt;&gt;"",(IF((_xlfn.XLOOKUP(C184,'Loan Out'!A:A,'Loan Out'!L:L))="Bad debt","Bad debt",IF(M184&gt;0,"Pending","Settled"))),"")</f>
        <v/>
      </c>
    </row>
    <row r="185" spans="1:16">
      <c r="A185" t="str">
        <f t="shared" si="10"/>
        <v/>
      </c>
      <c r="C185" t="str">
        <f t="shared" si="11"/>
        <v/>
      </c>
      <c r="D185" t="str">
        <f>IF(C185="","",(_xlfn.XLOOKUP(C185,'Loan Out'!A:A,'Loan Out'!J:J)))</f>
        <v/>
      </c>
      <c r="E185" t="str">
        <f>IF(C185="","",(_xlfn.XLOOKUP(C185,'Loan Out'!A:A,'Loan Out'!D:D)))</f>
        <v/>
      </c>
      <c r="F185" t="str">
        <f>IF(C185="","",(_xlfn.XLOOKUP(C185,'Loan Out'!A:A,'Loan Out'!E:E)))</f>
        <v/>
      </c>
      <c r="G185" t="str">
        <f>IF(C185="","",(_xlfn.XLOOKUP(C185,'Loan Out'!A:A,'Loan Out'!F:F)))</f>
        <v/>
      </c>
      <c r="H185" t="str">
        <f>IF(C185="","",(_xlfn.XLOOKUP(C185,'Loan Out'!A:A,'Loan Out'!G:G)))</f>
        <v/>
      </c>
      <c r="I185" t="str">
        <f>IF(C185="","",(_xlfn.XLOOKUP(C185,'Loan Out'!A:A,'Loan Out'!H:H)))</f>
        <v/>
      </c>
      <c r="J185" t="str">
        <f>IF(C185="","",(_xlfn.XLOOKUP(C185,'Loan Out'!A:A,'Loan Out'!I:I)))</f>
        <v/>
      </c>
      <c r="K185" t="str">
        <f>IF(C185="","",(_xlfn.XLOOKUP(C185,'Loan Out'!A:A,'Loan Out'!J:J)))</f>
        <v/>
      </c>
      <c r="L185" t="str">
        <f>IF(C185&lt;&gt;"",(SUMIF(Payments!C:C,C185,Payments!G:G)),"")</f>
        <v/>
      </c>
      <c r="M185" t="str">
        <f t="shared" si="12"/>
        <v/>
      </c>
      <c r="N185" t="str">
        <f t="shared" si="13"/>
        <v/>
      </c>
      <c r="O185" t="str">
        <f t="shared" si="14"/>
        <v/>
      </c>
      <c r="P185" s="1" t="str">
        <f>IF(B185&lt;&gt;"",(IF((_xlfn.XLOOKUP(C185,'Loan Out'!A:A,'Loan Out'!L:L))="Bad debt","Bad debt",IF(M185&gt;0,"Pending","Settled"))),"")</f>
        <v/>
      </c>
    </row>
    <row r="186" spans="1:16">
      <c r="A186" t="str">
        <f t="shared" si="10"/>
        <v/>
      </c>
      <c r="C186" t="str">
        <f t="shared" si="11"/>
        <v/>
      </c>
      <c r="D186" t="str">
        <f>IF(C186="","",(_xlfn.XLOOKUP(C186,'Loan Out'!A:A,'Loan Out'!J:J)))</f>
        <v/>
      </c>
      <c r="E186" t="str">
        <f>IF(C186="","",(_xlfn.XLOOKUP(C186,'Loan Out'!A:A,'Loan Out'!D:D)))</f>
        <v/>
      </c>
      <c r="F186" t="str">
        <f>IF(C186="","",(_xlfn.XLOOKUP(C186,'Loan Out'!A:A,'Loan Out'!E:E)))</f>
        <v/>
      </c>
      <c r="G186" t="str">
        <f>IF(C186="","",(_xlfn.XLOOKUP(C186,'Loan Out'!A:A,'Loan Out'!F:F)))</f>
        <v/>
      </c>
      <c r="H186" t="str">
        <f>IF(C186="","",(_xlfn.XLOOKUP(C186,'Loan Out'!A:A,'Loan Out'!G:G)))</f>
        <v/>
      </c>
      <c r="I186" t="str">
        <f>IF(C186="","",(_xlfn.XLOOKUP(C186,'Loan Out'!A:A,'Loan Out'!H:H)))</f>
        <v/>
      </c>
      <c r="J186" t="str">
        <f>IF(C186="","",(_xlfn.XLOOKUP(C186,'Loan Out'!A:A,'Loan Out'!I:I)))</f>
        <v/>
      </c>
      <c r="K186" t="str">
        <f>IF(C186="","",(_xlfn.XLOOKUP(C186,'Loan Out'!A:A,'Loan Out'!J:J)))</f>
        <v/>
      </c>
      <c r="L186" t="str">
        <f>IF(C186&lt;&gt;"",(SUMIF(Payments!C:C,C186,Payments!G:G)),"")</f>
        <v/>
      </c>
      <c r="M186" t="str">
        <f t="shared" si="12"/>
        <v/>
      </c>
      <c r="N186" t="str">
        <f t="shared" si="13"/>
        <v/>
      </c>
      <c r="O186" t="str">
        <f t="shared" si="14"/>
        <v/>
      </c>
      <c r="P186" s="1" t="str">
        <f>IF(B186&lt;&gt;"",(IF((_xlfn.XLOOKUP(C186,'Loan Out'!A:A,'Loan Out'!L:L))="Bad debt","Bad debt",IF(M186&gt;0,"Pending","Settled"))),"")</f>
        <v/>
      </c>
    </row>
    <row r="187" spans="1:16">
      <c r="A187" t="str">
        <f t="shared" si="10"/>
        <v/>
      </c>
      <c r="C187" t="str">
        <f t="shared" si="11"/>
        <v/>
      </c>
      <c r="D187" t="str">
        <f>IF(C187="","",(_xlfn.XLOOKUP(C187,'Loan Out'!A:A,'Loan Out'!J:J)))</f>
        <v/>
      </c>
      <c r="E187" t="str">
        <f>IF(C187="","",(_xlfn.XLOOKUP(C187,'Loan Out'!A:A,'Loan Out'!D:D)))</f>
        <v/>
      </c>
      <c r="F187" t="str">
        <f>IF(C187="","",(_xlfn.XLOOKUP(C187,'Loan Out'!A:A,'Loan Out'!E:E)))</f>
        <v/>
      </c>
      <c r="G187" t="str">
        <f>IF(C187="","",(_xlfn.XLOOKUP(C187,'Loan Out'!A:A,'Loan Out'!F:F)))</f>
        <v/>
      </c>
      <c r="H187" t="str">
        <f>IF(C187="","",(_xlfn.XLOOKUP(C187,'Loan Out'!A:A,'Loan Out'!G:G)))</f>
        <v/>
      </c>
      <c r="I187" t="str">
        <f>IF(C187="","",(_xlfn.XLOOKUP(C187,'Loan Out'!A:A,'Loan Out'!H:H)))</f>
        <v/>
      </c>
      <c r="J187" t="str">
        <f>IF(C187="","",(_xlfn.XLOOKUP(C187,'Loan Out'!A:A,'Loan Out'!I:I)))</f>
        <v/>
      </c>
      <c r="K187" t="str">
        <f>IF(C187="","",(_xlfn.XLOOKUP(C187,'Loan Out'!A:A,'Loan Out'!J:J)))</f>
        <v/>
      </c>
      <c r="L187" t="str">
        <f>IF(C187&lt;&gt;"",(SUMIF(Payments!C:C,C187,Payments!G:G)),"")</f>
        <v/>
      </c>
      <c r="M187" t="str">
        <f t="shared" si="12"/>
        <v/>
      </c>
      <c r="N187" t="str">
        <f t="shared" si="13"/>
        <v/>
      </c>
      <c r="O187" t="str">
        <f t="shared" si="14"/>
        <v/>
      </c>
      <c r="P187" s="1" t="str">
        <f>IF(B187&lt;&gt;"",(IF((_xlfn.XLOOKUP(C187,'Loan Out'!A:A,'Loan Out'!L:L))="Bad debt","Bad debt",IF(M187&gt;0,"Pending","Settled"))),"")</f>
        <v/>
      </c>
    </row>
    <row r="188" spans="1:16">
      <c r="A188" t="str">
        <f t="shared" si="10"/>
        <v/>
      </c>
      <c r="C188" t="str">
        <f t="shared" si="11"/>
        <v/>
      </c>
      <c r="D188" t="str">
        <f>IF(C188="","",(_xlfn.XLOOKUP(C188,'Loan Out'!A:A,'Loan Out'!J:J)))</f>
        <v/>
      </c>
      <c r="E188" t="str">
        <f>IF(C188="","",(_xlfn.XLOOKUP(C188,'Loan Out'!A:A,'Loan Out'!D:D)))</f>
        <v/>
      </c>
      <c r="F188" t="str">
        <f>IF(C188="","",(_xlfn.XLOOKUP(C188,'Loan Out'!A:A,'Loan Out'!E:E)))</f>
        <v/>
      </c>
      <c r="G188" t="str">
        <f>IF(C188="","",(_xlfn.XLOOKUP(C188,'Loan Out'!A:A,'Loan Out'!F:F)))</f>
        <v/>
      </c>
      <c r="H188" t="str">
        <f>IF(C188="","",(_xlfn.XLOOKUP(C188,'Loan Out'!A:A,'Loan Out'!G:G)))</f>
        <v/>
      </c>
      <c r="I188" t="str">
        <f>IF(C188="","",(_xlfn.XLOOKUP(C188,'Loan Out'!A:A,'Loan Out'!H:H)))</f>
        <v/>
      </c>
      <c r="J188" t="str">
        <f>IF(C188="","",(_xlfn.XLOOKUP(C188,'Loan Out'!A:A,'Loan Out'!I:I)))</f>
        <v/>
      </c>
      <c r="K188" t="str">
        <f>IF(C188="","",(_xlfn.XLOOKUP(C188,'Loan Out'!A:A,'Loan Out'!J:J)))</f>
        <v/>
      </c>
      <c r="L188" t="str">
        <f>IF(C188&lt;&gt;"",(SUMIF(Payments!C:C,C188,Payments!G:G)),"")</f>
        <v/>
      </c>
      <c r="M188" t="str">
        <f t="shared" si="12"/>
        <v/>
      </c>
      <c r="N188" t="str">
        <f t="shared" si="13"/>
        <v/>
      </c>
      <c r="O188" t="str">
        <f t="shared" si="14"/>
        <v/>
      </c>
      <c r="P188" s="1" t="str">
        <f>IF(B188&lt;&gt;"",(IF((_xlfn.XLOOKUP(C188,'Loan Out'!A:A,'Loan Out'!L:L))="Bad debt","Bad debt",IF(M188&gt;0,"Pending","Settled"))),"")</f>
        <v/>
      </c>
    </row>
    <row r="189" spans="1:16">
      <c r="A189" t="str">
        <f t="shared" si="10"/>
        <v/>
      </c>
      <c r="C189" t="str">
        <f t="shared" si="11"/>
        <v/>
      </c>
      <c r="D189" t="str">
        <f>IF(C189="","",(_xlfn.XLOOKUP(C189,'Loan Out'!A:A,'Loan Out'!J:J)))</f>
        <v/>
      </c>
      <c r="E189" t="str">
        <f>IF(C189="","",(_xlfn.XLOOKUP(C189,'Loan Out'!A:A,'Loan Out'!D:D)))</f>
        <v/>
      </c>
      <c r="F189" t="str">
        <f>IF(C189="","",(_xlfn.XLOOKUP(C189,'Loan Out'!A:A,'Loan Out'!E:E)))</f>
        <v/>
      </c>
      <c r="G189" t="str">
        <f>IF(C189="","",(_xlfn.XLOOKUP(C189,'Loan Out'!A:A,'Loan Out'!F:F)))</f>
        <v/>
      </c>
      <c r="H189" t="str">
        <f>IF(C189="","",(_xlfn.XLOOKUP(C189,'Loan Out'!A:A,'Loan Out'!G:G)))</f>
        <v/>
      </c>
      <c r="I189" t="str">
        <f>IF(C189="","",(_xlfn.XLOOKUP(C189,'Loan Out'!A:A,'Loan Out'!H:H)))</f>
        <v/>
      </c>
      <c r="J189" t="str">
        <f>IF(C189="","",(_xlfn.XLOOKUP(C189,'Loan Out'!A:A,'Loan Out'!I:I)))</f>
        <v/>
      </c>
      <c r="K189" t="str">
        <f>IF(C189="","",(_xlfn.XLOOKUP(C189,'Loan Out'!A:A,'Loan Out'!J:J)))</f>
        <v/>
      </c>
      <c r="L189" t="str">
        <f>IF(C189&lt;&gt;"",(SUMIF(Payments!C:C,C189,Payments!G:G)),"")</f>
        <v/>
      </c>
      <c r="M189" t="str">
        <f t="shared" si="12"/>
        <v/>
      </c>
      <c r="N189" t="str">
        <f t="shared" si="13"/>
        <v/>
      </c>
      <c r="O189" t="str">
        <f t="shared" si="14"/>
        <v/>
      </c>
      <c r="P189" s="1" t="str">
        <f>IF(B189&lt;&gt;"",(IF((_xlfn.XLOOKUP(C189,'Loan Out'!A:A,'Loan Out'!L:L))="Bad debt","Bad debt",IF(M189&gt;0,"Pending","Settled"))),"")</f>
        <v/>
      </c>
    </row>
    <row r="190" spans="1:16">
      <c r="A190" t="str">
        <f t="shared" si="10"/>
        <v/>
      </c>
      <c r="C190" t="str">
        <f t="shared" si="11"/>
        <v/>
      </c>
      <c r="D190" t="str">
        <f>IF(C190="","",(_xlfn.XLOOKUP(C190,'Loan Out'!A:A,'Loan Out'!J:J)))</f>
        <v/>
      </c>
      <c r="E190" t="str">
        <f>IF(C190="","",(_xlfn.XLOOKUP(C190,'Loan Out'!A:A,'Loan Out'!D:D)))</f>
        <v/>
      </c>
      <c r="F190" t="str">
        <f>IF(C190="","",(_xlfn.XLOOKUP(C190,'Loan Out'!A:A,'Loan Out'!E:E)))</f>
        <v/>
      </c>
      <c r="G190" t="str">
        <f>IF(C190="","",(_xlfn.XLOOKUP(C190,'Loan Out'!A:A,'Loan Out'!F:F)))</f>
        <v/>
      </c>
      <c r="H190" t="str">
        <f>IF(C190="","",(_xlfn.XLOOKUP(C190,'Loan Out'!A:A,'Loan Out'!G:G)))</f>
        <v/>
      </c>
      <c r="I190" t="str">
        <f>IF(C190="","",(_xlfn.XLOOKUP(C190,'Loan Out'!A:A,'Loan Out'!H:H)))</f>
        <v/>
      </c>
      <c r="J190" t="str">
        <f>IF(C190="","",(_xlfn.XLOOKUP(C190,'Loan Out'!A:A,'Loan Out'!I:I)))</f>
        <v/>
      </c>
      <c r="K190" t="str">
        <f>IF(C190="","",(_xlfn.XLOOKUP(C190,'Loan Out'!A:A,'Loan Out'!J:J)))</f>
        <v/>
      </c>
      <c r="L190" t="str">
        <f>IF(C190&lt;&gt;"",(SUMIF(Payments!C:C,C190,Payments!G:G)),"")</f>
        <v/>
      </c>
      <c r="M190" t="str">
        <f t="shared" si="12"/>
        <v/>
      </c>
      <c r="N190" t="str">
        <f t="shared" si="13"/>
        <v/>
      </c>
      <c r="O190" t="str">
        <f t="shared" si="14"/>
        <v/>
      </c>
      <c r="P190" s="1" t="str">
        <f>IF(B190&lt;&gt;"",(IF((_xlfn.XLOOKUP(C190,'Loan Out'!A:A,'Loan Out'!L:L))="Bad debt","Bad debt",IF(M190&gt;0,"Pending","Settled"))),"")</f>
        <v/>
      </c>
    </row>
    <row r="191" spans="1:16">
      <c r="A191" t="str">
        <f t="shared" si="10"/>
        <v/>
      </c>
      <c r="C191" t="str">
        <f t="shared" si="11"/>
        <v/>
      </c>
      <c r="D191" t="str">
        <f>IF(C191="","",(_xlfn.XLOOKUP(C191,'Loan Out'!A:A,'Loan Out'!J:J)))</f>
        <v/>
      </c>
      <c r="E191" t="str">
        <f>IF(C191="","",(_xlfn.XLOOKUP(C191,'Loan Out'!A:A,'Loan Out'!D:D)))</f>
        <v/>
      </c>
      <c r="F191" t="str">
        <f>IF(C191="","",(_xlfn.XLOOKUP(C191,'Loan Out'!A:A,'Loan Out'!E:E)))</f>
        <v/>
      </c>
      <c r="G191" t="str">
        <f>IF(C191="","",(_xlfn.XLOOKUP(C191,'Loan Out'!A:A,'Loan Out'!F:F)))</f>
        <v/>
      </c>
      <c r="H191" t="str">
        <f>IF(C191="","",(_xlfn.XLOOKUP(C191,'Loan Out'!A:A,'Loan Out'!G:G)))</f>
        <v/>
      </c>
      <c r="I191" t="str">
        <f>IF(C191="","",(_xlfn.XLOOKUP(C191,'Loan Out'!A:A,'Loan Out'!H:H)))</f>
        <v/>
      </c>
      <c r="J191" t="str">
        <f>IF(C191="","",(_xlfn.XLOOKUP(C191,'Loan Out'!A:A,'Loan Out'!I:I)))</f>
        <v/>
      </c>
      <c r="K191" t="str">
        <f>IF(C191="","",(_xlfn.XLOOKUP(C191,'Loan Out'!A:A,'Loan Out'!J:J)))</f>
        <v/>
      </c>
      <c r="L191" t="str">
        <f>IF(C191&lt;&gt;"",(SUMIF(Payments!C:C,C191,Payments!G:G)),"")</f>
        <v/>
      </c>
      <c r="M191" t="str">
        <f t="shared" si="12"/>
        <v/>
      </c>
      <c r="N191" t="str">
        <f t="shared" si="13"/>
        <v/>
      </c>
      <c r="O191" t="str">
        <f t="shared" si="14"/>
        <v/>
      </c>
      <c r="P191" s="1" t="str">
        <f>IF(B191&lt;&gt;"",(IF((_xlfn.XLOOKUP(C191,'Loan Out'!A:A,'Loan Out'!L:L))="Bad debt","Bad debt",IF(M191&gt;0,"Pending","Settled"))),"")</f>
        <v/>
      </c>
    </row>
    <row r="192" spans="1:16">
      <c r="A192" t="str">
        <f t="shared" si="10"/>
        <v/>
      </c>
      <c r="C192" t="str">
        <f t="shared" si="11"/>
        <v/>
      </c>
      <c r="D192" t="str">
        <f>IF(C192="","",(_xlfn.XLOOKUP(C192,'Loan Out'!A:A,'Loan Out'!J:J)))</f>
        <v/>
      </c>
      <c r="E192" t="str">
        <f>IF(C192="","",(_xlfn.XLOOKUP(C192,'Loan Out'!A:A,'Loan Out'!D:D)))</f>
        <v/>
      </c>
      <c r="F192" t="str">
        <f>IF(C192="","",(_xlfn.XLOOKUP(C192,'Loan Out'!A:A,'Loan Out'!E:E)))</f>
        <v/>
      </c>
      <c r="G192" t="str">
        <f>IF(C192="","",(_xlfn.XLOOKUP(C192,'Loan Out'!A:A,'Loan Out'!F:F)))</f>
        <v/>
      </c>
      <c r="H192" t="str">
        <f>IF(C192="","",(_xlfn.XLOOKUP(C192,'Loan Out'!A:A,'Loan Out'!G:G)))</f>
        <v/>
      </c>
      <c r="I192" t="str">
        <f>IF(C192="","",(_xlfn.XLOOKUP(C192,'Loan Out'!A:A,'Loan Out'!H:H)))</f>
        <v/>
      </c>
      <c r="J192" t="str">
        <f>IF(C192="","",(_xlfn.XLOOKUP(C192,'Loan Out'!A:A,'Loan Out'!I:I)))</f>
        <v/>
      </c>
      <c r="K192" t="str">
        <f>IF(C192="","",(_xlfn.XLOOKUP(C192,'Loan Out'!A:A,'Loan Out'!J:J)))</f>
        <v/>
      </c>
      <c r="L192" t="str">
        <f>IF(C192&lt;&gt;"",(SUMIF(Payments!C:C,C192,Payments!G:G)),"")</f>
        <v/>
      </c>
      <c r="M192" t="str">
        <f t="shared" si="12"/>
        <v/>
      </c>
      <c r="N192" t="str">
        <f t="shared" si="13"/>
        <v/>
      </c>
      <c r="O192" t="str">
        <f t="shared" si="14"/>
        <v/>
      </c>
      <c r="P192" s="1" t="str">
        <f>IF(B192&lt;&gt;"",(IF((_xlfn.XLOOKUP(C192,'Loan Out'!A:A,'Loan Out'!L:L))="Bad debt","Bad debt",IF(M192&gt;0,"Pending","Settled"))),"")</f>
        <v/>
      </c>
    </row>
    <row r="193" spans="1:16">
      <c r="A193" t="str">
        <f t="shared" si="10"/>
        <v/>
      </c>
      <c r="C193" t="str">
        <f t="shared" si="11"/>
        <v/>
      </c>
      <c r="D193" t="str">
        <f>IF(C193="","",(_xlfn.XLOOKUP(C193,'Loan Out'!A:A,'Loan Out'!J:J)))</f>
        <v/>
      </c>
      <c r="E193" t="str">
        <f>IF(C193="","",(_xlfn.XLOOKUP(C193,'Loan Out'!A:A,'Loan Out'!D:D)))</f>
        <v/>
      </c>
      <c r="F193" t="str">
        <f>IF(C193="","",(_xlfn.XLOOKUP(C193,'Loan Out'!A:A,'Loan Out'!E:E)))</f>
        <v/>
      </c>
      <c r="G193" t="str">
        <f>IF(C193="","",(_xlfn.XLOOKUP(C193,'Loan Out'!A:A,'Loan Out'!F:F)))</f>
        <v/>
      </c>
      <c r="H193" t="str">
        <f>IF(C193="","",(_xlfn.XLOOKUP(C193,'Loan Out'!A:A,'Loan Out'!G:G)))</f>
        <v/>
      </c>
      <c r="I193" t="str">
        <f>IF(C193="","",(_xlfn.XLOOKUP(C193,'Loan Out'!A:A,'Loan Out'!H:H)))</f>
        <v/>
      </c>
      <c r="J193" t="str">
        <f>IF(C193="","",(_xlfn.XLOOKUP(C193,'Loan Out'!A:A,'Loan Out'!I:I)))</f>
        <v/>
      </c>
      <c r="K193" t="str">
        <f>IF(C193="","",(_xlfn.XLOOKUP(C193,'Loan Out'!A:A,'Loan Out'!J:J)))</f>
        <v/>
      </c>
      <c r="L193" t="str">
        <f>IF(C193&lt;&gt;"",(SUMIF(Payments!C:C,C193,Payments!G:G)),"")</f>
        <v/>
      </c>
      <c r="M193" t="str">
        <f t="shared" si="12"/>
        <v/>
      </c>
      <c r="N193" t="str">
        <f t="shared" si="13"/>
        <v/>
      </c>
      <c r="O193" t="str">
        <f t="shared" si="14"/>
        <v/>
      </c>
      <c r="P193" s="1" t="str">
        <f>IF(B193&lt;&gt;"",(IF((_xlfn.XLOOKUP(C193,'Loan Out'!A:A,'Loan Out'!L:L))="Bad debt","Bad debt",IF(M193&gt;0,"Pending","Settled"))),"")</f>
        <v/>
      </c>
    </row>
    <row r="194" spans="1:16">
      <c r="A194" t="str">
        <f t="shared" si="10"/>
        <v/>
      </c>
      <c r="C194" t="str">
        <f t="shared" si="11"/>
        <v/>
      </c>
      <c r="D194" t="str">
        <f>IF(C194="","",(_xlfn.XLOOKUP(C194,'Loan Out'!A:A,'Loan Out'!J:J)))</f>
        <v/>
      </c>
      <c r="E194" t="str">
        <f>IF(C194="","",(_xlfn.XLOOKUP(C194,'Loan Out'!A:A,'Loan Out'!D:D)))</f>
        <v/>
      </c>
      <c r="F194" t="str">
        <f>IF(C194="","",(_xlfn.XLOOKUP(C194,'Loan Out'!A:A,'Loan Out'!E:E)))</f>
        <v/>
      </c>
      <c r="G194" t="str">
        <f>IF(C194="","",(_xlfn.XLOOKUP(C194,'Loan Out'!A:A,'Loan Out'!F:F)))</f>
        <v/>
      </c>
      <c r="H194" t="str">
        <f>IF(C194="","",(_xlfn.XLOOKUP(C194,'Loan Out'!A:A,'Loan Out'!G:G)))</f>
        <v/>
      </c>
      <c r="I194" t="str">
        <f>IF(C194="","",(_xlfn.XLOOKUP(C194,'Loan Out'!A:A,'Loan Out'!H:H)))</f>
        <v/>
      </c>
      <c r="J194" t="str">
        <f>IF(C194="","",(_xlfn.XLOOKUP(C194,'Loan Out'!A:A,'Loan Out'!I:I)))</f>
        <v/>
      </c>
      <c r="K194" t="str">
        <f>IF(C194="","",(_xlfn.XLOOKUP(C194,'Loan Out'!A:A,'Loan Out'!J:J)))</f>
        <v/>
      </c>
      <c r="L194" t="str">
        <f>IF(C194&lt;&gt;"",(SUMIF(Payments!C:C,C194,Payments!G:G)),"")</f>
        <v/>
      </c>
      <c r="M194" t="str">
        <f t="shared" si="12"/>
        <v/>
      </c>
      <c r="N194" t="str">
        <f t="shared" si="13"/>
        <v/>
      </c>
      <c r="O194" t="str">
        <f t="shared" si="14"/>
        <v/>
      </c>
      <c r="P194" s="1" t="str">
        <f>IF(B194&lt;&gt;"",(IF((_xlfn.XLOOKUP(C194,'Loan Out'!A:A,'Loan Out'!L:L))="Bad debt","Bad debt",IF(M194&gt;0,"Pending","Settled"))),"")</f>
        <v/>
      </c>
    </row>
    <row r="195" spans="1:16">
      <c r="A195" t="str">
        <f t="shared" ref="A195:A250" si="15">IF(C195&lt;&gt;"","Entry"&amp;ROW()-1,"")</f>
        <v/>
      </c>
      <c r="C195" t="str">
        <f t="shared" ref="C195:C250" si="16">IF(B195&lt;&gt;"",(LEFT(B195,FIND(" |",B195)-1)),"")</f>
        <v/>
      </c>
      <c r="D195" t="str">
        <f>IF(C195="","",(_xlfn.XLOOKUP(C195,'Loan Out'!A:A,'Loan Out'!J:J)))</f>
        <v/>
      </c>
      <c r="E195" t="str">
        <f>IF(C195="","",(_xlfn.XLOOKUP(C195,'Loan Out'!A:A,'Loan Out'!D:D)))</f>
        <v/>
      </c>
      <c r="F195" t="str">
        <f>IF(C195="","",(_xlfn.XLOOKUP(C195,'Loan Out'!A:A,'Loan Out'!E:E)))</f>
        <v/>
      </c>
      <c r="G195" t="str">
        <f>IF(C195="","",(_xlfn.XLOOKUP(C195,'Loan Out'!A:A,'Loan Out'!F:F)))</f>
        <v/>
      </c>
      <c r="H195" t="str">
        <f>IF(C195="","",(_xlfn.XLOOKUP(C195,'Loan Out'!A:A,'Loan Out'!G:G)))</f>
        <v/>
      </c>
      <c r="I195" t="str">
        <f>IF(C195="","",(_xlfn.XLOOKUP(C195,'Loan Out'!A:A,'Loan Out'!H:H)))</f>
        <v/>
      </c>
      <c r="J195" t="str">
        <f>IF(C195="","",(_xlfn.XLOOKUP(C195,'Loan Out'!A:A,'Loan Out'!I:I)))</f>
        <v/>
      </c>
      <c r="K195" t="str">
        <f>IF(C195="","",(_xlfn.XLOOKUP(C195,'Loan Out'!A:A,'Loan Out'!J:J)))</f>
        <v/>
      </c>
      <c r="L195" t="str">
        <f>IF(C195&lt;&gt;"",(SUMIF(Payments!C:C,C195,Payments!G:G)),"")</f>
        <v/>
      </c>
      <c r="M195" t="str">
        <f t="shared" ref="M195:M250" si="17">IF(C195&lt;&gt;"",(J195-L195),"")</f>
        <v/>
      </c>
      <c r="N195" t="str">
        <f t="shared" ref="N195:N250" si="18">IF(B195&lt;&gt;"",(IF(L195&gt;G195,(L195-G195),0)),"")</f>
        <v/>
      </c>
      <c r="O195" t="str">
        <f t="shared" ref="O195:O250" si="19">IF(B195&lt;&gt;"",(IF(P195="Bad debt",M195,0)),"")</f>
        <v/>
      </c>
      <c r="P195" s="1" t="str">
        <f>IF(B195&lt;&gt;"",(IF((_xlfn.XLOOKUP(C195,'Loan Out'!A:A,'Loan Out'!L:L))="Bad debt","Bad debt",IF(M195&gt;0,"Pending","Settled"))),"")</f>
        <v/>
      </c>
    </row>
    <row r="196" spans="1:16">
      <c r="A196" t="str">
        <f t="shared" si="15"/>
        <v/>
      </c>
      <c r="C196" t="str">
        <f t="shared" si="16"/>
        <v/>
      </c>
      <c r="D196" t="str">
        <f>IF(C196="","",(_xlfn.XLOOKUP(C196,'Loan Out'!A:A,'Loan Out'!J:J)))</f>
        <v/>
      </c>
      <c r="E196" t="str">
        <f>IF(C196="","",(_xlfn.XLOOKUP(C196,'Loan Out'!A:A,'Loan Out'!D:D)))</f>
        <v/>
      </c>
      <c r="F196" t="str">
        <f>IF(C196="","",(_xlfn.XLOOKUP(C196,'Loan Out'!A:A,'Loan Out'!E:E)))</f>
        <v/>
      </c>
      <c r="G196" t="str">
        <f>IF(C196="","",(_xlfn.XLOOKUP(C196,'Loan Out'!A:A,'Loan Out'!F:F)))</f>
        <v/>
      </c>
      <c r="H196" t="str">
        <f>IF(C196="","",(_xlfn.XLOOKUP(C196,'Loan Out'!A:A,'Loan Out'!G:G)))</f>
        <v/>
      </c>
      <c r="I196" t="str">
        <f>IF(C196="","",(_xlfn.XLOOKUP(C196,'Loan Out'!A:A,'Loan Out'!H:H)))</f>
        <v/>
      </c>
      <c r="J196" t="str">
        <f>IF(C196="","",(_xlfn.XLOOKUP(C196,'Loan Out'!A:A,'Loan Out'!I:I)))</f>
        <v/>
      </c>
      <c r="K196" t="str">
        <f>IF(C196="","",(_xlfn.XLOOKUP(C196,'Loan Out'!A:A,'Loan Out'!J:J)))</f>
        <v/>
      </c>
      <c r="L196" t="str">
        <f>IF(C196&lt;&gt;"",(SUMIF(Payments!C:C,C196,Payments!G:G)),"")</f>
        <v/>
      </c>
      <c r="M196" t="str">
        <f t="shared" si="17"/>
        <v/>
      </c>
      <c r="N196" t="str">
        <f t="shared" si="18"/>
        <v/>
      </c>
      <c r="O196" t="str">
        <f t="shared" si="19"/>
        <v/>
      </c>
      <c r="P196" s="1" t="str">
        <f>IF(B196&lt;&gt;"",(IF((_xlfn.XLOOKUP(C196,'Loan Out'!A:A,'Loan Out'!L:L))="Bad debt","Bad debt",IF(M196&gt;0,"Pending","Settled"))),"")</f>
        <v/>
      </c>
    </row>
    <row r="197" spans="1:16">
      <c r="A197" t="str">
        <f t="shared" si="15"/>
        <v/>
      </c>
      <c r="C197" t="str">
        <f t="shared" si="16"/>
        <v/>
      </c>
      <c r="D197" t="str">
        <f>IF(C197="","",(_xlfn.XLOOKUP(C197,'Loan Out'!A:A,'Loan Out'!J:J)))</f>
        <v/>
      </c>
      <c r="E197" t="str">
        <f>IF(C197="","",(_xlfn.XLOOKUP(C197,'Loan Out'!A:A,'Loan Out'!D:D)))</f>
        <v/>
      </c>
      <c r="F197" t="str">
        <f>IF(C197="","",(_xlfn.XLOOKUP(C197,'Loan Out'!A:A,'Loan Out'!E:E)))</f>
        <v/>
      </c>
      <c r="G197" t="str">
        <f>IF(C197="","",(_xlfn.XLOOKUP(C197,'Loan Out'!A:A,'Loan Out'!F:F)))</f>
        <v/>
      </c>
      <c r="H197" t="str">
        <f>IF(C197="","",(_xlfn.XLOOKUP(C197,'Loan Out'!A:A,'Loan Out'!G:G)))</f>
        <v/>
      </c>
      <c r="I197" t="str">
        <f>IF(C197="","",(_xlfn.XLOOKUP(C197,'Loan Out'!A:A,'Loan Out'!H:H)))</f>
        <v/>
      </c>
      <c r="J197" t="str">
        <f>IF(C197="","",(_xlfn.XLOOKUP(C197,'Loan Out'!A:A,'Loan Out'!I:I)))</f>
        <v/>
      </c>
      <c r="K197" t="str">
        <f>IF(C197="","",(_xlfn.XLOOKUP(C197,'Loan Out'!A:A,'Loan Out'!J:J)))</f>
        <v/>
      </c>
      <c r="L197" t="str">
        <f>IF(C197&lt;&gt;"",(SUMIF(Payments!C:C,C197,Payments!G:G)),"")</f>
        <v/>
      </c>
      <c r="M197" t="str">
        <f t="shared" si="17"/>
        <v/>
      </c>
      <c r="N197" t="str">
        <f t="shared" si="18"/>
        <v/>
      </c>
      <c r="O197" t="str">
        <f t="shared" si="19"/>
        <v/>
      </c>
      <c r="P197" s="1" t="str">
        <f>IF(B197&lt;&gt;"",(IF((_xlfn.XLOOKUP(C197,'Loan Out'!A:A,'Loan Out'!L:L))="Bad debt","Bad debt",IF(M197&gt;0,"Pending","Settled"))),"")</f>
        <v/>
      </c>
    </row>
    <row r="198" spans="1:16">
      <c r="A198" t="str">
        <f t="shared" si="15"/>
        <v/>
      </c>
      <c r="C198" t="str">
        <f t="shared" si="16"/>
        <v/>
      </c>
      <c r="D198" t="str">
        <f>IF(C198="","",(_xlfn.XLOOKUP(C198,'Loan Out'!A:A,'Loan Out'!J:J)))</f>
        <v/>
      </c>
      <c r="E198" t="str">
        <f>IF(C198="","",(_xlfn.XLOOKUP(C198,'Loan Out'!A:A,'Loan Out'!D:D)))</f>
        <v/>
      </c>
      <c r="F198" t="str">
        <f>IF(C198="","",(_xlfn.XLOOKUP(C198,'Loan Out'!A:A,'Loan Out'!E:E)))</f>
        <v/>
      </c>
      <c r="G198" t="str">
        <f>IF(C198="","",(_xlfn.XLOOKUP(C198,'Loan Out'!A:A,'Loan Out'!F:F)))</f>
        <v/>
      </c>
      <c r="H198" t="str">
        <f>IF(C198="","",(_xlfn.XLOOKUP(C198,'Loan Out'!A:A,'Loan Out'!G:G)))</f>
        <v/>
      </c>
      <c r="I198" t="str">
        <f>IF(C198="","",(_xlfn.XLOOKUP(C198,'Loan Out'!A:A,'Loan Out'!H:H)))</f>
        <v/>
      </c>
      <c r="J198" t="str">
        <f>IF(C198="","",(_xlfn.XLOOKUP(C198,'Loan Out'!A:A,'Loan Out'!I:I)))</f>
        <v/>
      </c>
      <c r="K198" t="str">
        <f>IF(C198="","",(_xlfn.XLOOKUP(C198,'Loan Out'!A:A,'Loan Out'!J:J)))</f>
        <v/>
      </c>
      <c r="L198" t="str">
        <f>IF(C198&lt;&gt;"",(SUMIF(Payments!C:C,C198,Payments!G:G)),"")</f>
        <v/>
      </c>
      <c r="M198" t="str">
        <f t="shared" si="17"/>
        <v/>
      </c>
      <c r="N198" t="str">
        <f t="shared" si="18"/>
        <v/>
      </c>
      <c r="O198" t="str">
        <f t="shared" si="19"/>
        <v/>
      </c>
      <c r="P198" s="1" t="str">
        <f>IF(B198&lt;&gt;"",(IF((_xlfn.XLOOKUP(C198,'Loan Out'!A:A,'Loan Out'!L:L))="Bad debt","Bad debt",IF(M198&gt;0,"Pending","Settled"))),"")</f>
        <v/>
      </c>
    </row>
    <row r="199" spans="1:16">
      <c r="A199" t="str">
        <f t="shared" si="15"/>
        <v/>
      </c>
      <c r="C199" t="str">
        <f t="shared" si="16"/>
        <v/>
      </c>
      <c r="D199" t="str">
        <f>IF(C199="","",(_xlfn.XLOOKUP(C199,'Loan Out'!A:A,'Loan Out'!J:J)))</f>
        <v/>
      </c>
      <c r="E199" t="str">
        <f>IF(C199="","",(_xlfn.XLOOKUP(C199,'Loan Out'!A:A,'Loan Out'!D:D)))</f>
        <v/>
      </c>
      <c r="F199" t="str">
        <f>IF(C199="","",(_xlfn.XLOOKUP(C199,'Loan Out'!A:A,'Loan Out'!E:E)))</f>
        <v/>
      </c>
      <c r="G199" t="str">
        <f>IF(C199="","",(_xlfn.XLOOKUP(C199,'Loan Out'!A:A,'Loan Out'!F:F)))</f>
        <v/>
      </c>
      <c r="H199" t="str">
        <f>IF(C199="","",(_xlfn.XLOOKUP(C199,'Loan Out'!A:A,'Loan Out'!G:G)))</f>
        <v/>
      </c>
      <c r="I199" t="str">
        <f>IF(C199="","",(_xlfn.XLOOKUP(C199,'Loan Out'!A:A,'Loan Out'!H:H)))</f>
        <v/>
      </c>
      <c r="J199" t="str">
        <f>IF(C199="","",(_xlfn.XLOOKUP(C199,'Loan Out'!A:A,'Loan Out'!I:I)))</f>
        <v/>
      </c>
      <c r="K199" t="str">
        <f>IF(C199="","",(_xlfn.XLOOKUP(C199,'Loan Out'!A:A,'Loan Out'!J:J)))</f>
        <v/>
      </c>
      <c r="L199" t="str">
        <f>IF(C199&lt;&gt;"",(SUMIF(Payments!C:C,C199,Payments!G:G)),"")</f>
        <v/>
      </c>
      <c r="M199" t="str">
        <f t="shared" si="17"/>
        <v/>
      </c>
      <c r="N199" t="str">
        <f t="shared" si="18"/>
        <v/>
      </c>
      <c r="O199" t="str">
        <f t="shared" si="19"/>
        <v/>
      </c>
      <c r="P199" s="1" t="str">
        <f>IF(B199&lt;&gt;"",(IF((_xlfn.XLOOKUP(C199,'Loan Out'!A:A,'Loan Out'!L:L))="Bad debt","Bad debt",IF(M199&gt;0,"Pending","Settled"))),"")</f>
        <v/>
      </c>
    </row>
    <row r="200" spans="1:16">
      <c r="A200" t="str">
        <f t="shared" si="15"/>
        <v/>
      </c>
      <c r="C200" t="str">
        <f t="shared" si="16"/>
        <v/>
      </c>
      <c r="D200" t="str">
        <f>IF(C200="","",(_xlfn.XLOOKUP(C200,'Loan Out'!A:A,'Loan Out'!J:J)))</f>
        <v/>
      </c>
      <c r="E200" t="str">
        <f>IF(C200="","",(_xlfn.XLOOKUP(C200,'Loan Out'!A:A,'Loan Out'!D:D)))</f>
        <v/>
      </c>
      <c r="F200" t="str">
        <f>IF(C200="","",(_xlfn.XLOOKUP(C200,'Loan Out'!A:A,'Loan Out'!E:E)))</f>
        <v/>
      </c>
      <c r="G200" t="str">
        <f>IF(C200="","",(_xlfn.XLOOKUP(C200,'Loan Out'!A:A,'Loan Out'!F:F)))</f>
        <v/>
      </c>
      <c r="H200" t="str">
        <f>IF(C200="","",(_xlfn.XLOOKUP(C200,'Loan Out'!A:A,'Loan Out'!G:G)))</f>
        <v/>
      </c>
      <c r="I200" t="str">
        <f>IF(C200="","",(_xlfn.XLOOKUP(C200,'Loan Out'!A:A,'Loan Out'!H:H)))</f>
        <v/>
      </c>
      <c r="J200" t="str">
        <f>IF(C200="","",(_xlfn.XLOOKUP(C200,'Loan Out'!A:A,'Loan Out'!I:I)))</f>
        <v/>
      </c>
      <c r="K200" t="str">
        <f>IF(C200="","",(_xlfn.XLOOKUP(C200,'Loan Out'!A:A,'Loan Out'!J:J)))</f>
        <v/>
      </c>
      <c r="L200" t="str">
        <f>IF(C200&lt;&gt;"",(SUMIF(Payments!C:C,C200,Payments!G:G)),"")</f>
        <v/>
      </c>
      <c r="M200" t="str">
        <f t="shared" si="17"/>
        <v/>
      </c>
      <c r="N200" t="str">
        <f t="shared" si="18"/>
        <v/>
      </c>
      <c r="O200" t="str">
        <f t="shared" si="19"/>
        <v/>
      </c>
      <c r="P200" s="1" t="str">
        <f>IF(B200&lt;&gt;"",(IF((_xlfn.XLOOKUP(C200,'Loan Out'!A:A,'Loan Out'!L:L))="Bad debt","Bad debt",IF(M200&gt;0,"Pending","Settled"))),"")</f>
        <v/>
      </c>
    </row>
    <row r="201" spans="1:16">
      <c r="A201" t="str">
        <f t="shared" si="15"/>
        <v/>
      </c>
      <c r="C201" t="str">
        <f t="shared" si="16"/>
        <v/>
      </c>
      <c r="D201" t="str">
        <f>IF(C201="","",(_xlfn.XLOOKUP(C201,'Loan Out'!A:A,'Loan Out'!J:J)))</f>
        <v/>
      </c>
      <c r="E201" t="str">
        <f>IF(C201="","",(_xlfn.XLOOKUP(C201,'Loan Out'!A:A,'Loan Out'!D:D)))</f>
        <v/>
      </c>
      <c r="F201" t="str">
        <f>IF(C201="","",(_xlfn.XLOOKUP(C201,'Loan Out'!A:A,'Loan Out'!E:E)))</f>
        <v/>
      </c>
      <c r="G201" t="str">
        <f>IF(C201="","",(_xlfn.XLOOKUP(C201,'Loan Out'!A:A,'Loan Out'!F:F)))</f>
        <v/>
      </c>
      <c r="H201" t="str">
        <f>IF(C201="","",(_xlfn.XLOOKUP(C201,'Loan Out'!A:A,'Loan Out'!G:G)))</f>
        <v/>
      </c>
      <c r="I201" t="str">
        <f>IF(C201="","",(_xlfn.XLOOKUP(C201,'Loan Out'!A:A,'Loan Out'!H:H)))</f>
        <v/>
      </c>
      <c r="J201" t="str">
        <f>IF(C201="","",(_xlfn.XLOOKUP(C201,'Loan Out'!A:A,'Loan Out'!I:I)))</f>
        <v/>
      </c>
      <c r="K201" t="str">
        <f>IF(C201="","",(_xlfn.XLOOKUP(C201,'Loan Out'!A:A,'Loan Out'!J:J)))</f>
        <v/>
      </c>
      <c r="L201" t="str">
        <f>IF(C201&lt;&gt;"",(SUMIF(Payments!C:C,C201,Payments!G:G)),"")</f>
        <v/>
      </c>
      <c r="M201" t="str">
        <f t="shared" si="17"/>
        <v/>
      </c>
      <c r="N201" t="str">
        <f t="shared" si="18"/>
        <v/>
      </c>
      <c r="O201" t="str">
        <f t="shared" si="19"/>
        <v/>
      </c>
      <c r="P201" s="1" t="str">
        <f>IF(B201&lt;&gt;"",(IF((_xlfn.XLOOKUP(C201,'Loan Out'!A:A,'Loan Out'!L:L))="Bad debt","Bad debt",IF(M201&gt;0,"Pending","Settled"))),"")</f>
        <v/>
      </c>
    </row>
    <row r="202" spans="1:16">
      <c r="A202" t="str">
        <f t="shared" si="15"/>
        <v/>
      </c>
      <c r="C202" t="str">
        <f t="shared" si="16"/>
        <v/>
      </c>
      <c r="D202" t="str">
        <f>IF(C202="","",(_xlfn.XLOOKUP(C202,'Loan Out'!A:A,'Loan Out'!J:J)))</f>
        <v/>
      </c>
      <c r="E202" t="str">
        <f>IF(C202="","",(_xlfn.XLOOKUP(C202,'Loan Out'!A:A,'Loan Out'!D:D)))</f>
        <v/>
      </c>
      <c r="F202" t="str">
        <f>IF(C202="","",(_xlfn.XLOOKUP(C202,'Loan Out'!A:A,'Loan Out'!E:E)))</f>
        <v/>
      </c>
      <c r="G202" t="str">
        <f>IF(C202="","",(_xlfn.XLOOKUP(C202,'Loan Out'!A:A,'Loan Out'!F:F)))</f>
        <v/>
      </c>
      <c r="H202" t="str">
        <f>IF(C202="","",(_xlfn.XLOOKUP(C202,'Loan Out'!A:A,'Loan Out'!G:G)))</f>
        <v/>
      </c>
      <c r="I202" t="str">
        <f>IF(C202="","",(_xlfn.XLOOKUP(C202,'Loan Out'!A:A,'Loan Out'!H:H)))</f>
        <v/>
      </c>
      <c r="J202" t="str">
        <f>IF(C202="","",(_xlfn.XLOOKUP(C202,'Loan Out'!A:A,'Loan Out'!I:I)))</f>
        <v/>
      </c>
      <c r="K202" t="str">
        <f>IF(C202="","",(_xlfn.XLOOKUP(C202,'Loan Out'!A:A,'Loan Out'!J:J)))</f>
        <v/>
      </c>
      <c r="L202" t="str">
        <f>IF(C202&lt;&gt;"",(SUMIF(Payments!C:C,C202,Payments!G:G)),"")</f>
        <v/>
      </c>
      <c r="M202" t="str">
        <f t="shared" si="17"/>
        <v/>
      </c>
      <c r="N202" t="str">
        <f t="shared" si="18"/>
        <v/>
      </c>
      <c r="O202" t="str">
        <f t="shared" si="19"/>
        <v/>
      </c>
      <c r="P202" s="1" t="str">
        <f>IF(B202&lt;&gt;"",(IF((_xlfn.XLOOKUP(C202,'Loan Out'!A:A,'Loan Out'!L:L))="Bad debt","Bad debt",IF(M202&gt;0,"Pending","Settled"))),"")</f>
        <v/>
      </c>
    </row>
    <row r="203" spans="1:16">
      <c r="A203" t="str">
        <f t="shared" si="15"/>
        <v/>
      </c>
      <c r="C203" t="str">
        <f t="shared" si="16"/>
        <v/>
      </c>
      <c r="D203" t="str">
        <f>IF(C203="","",(_xlfn.XLOOKUP(C203,'Loan Out'!A:A,'Loan Out'!J:J)))</f>
        <v/>
      </c>
      <c r="E203" t="str">
        <f>IF(C203="","",(_xlfn.XLOOKUP(C203,'Loan Out'!A:A,'Loan Out'!D:D)))</f>
        <v/>
      </c>
      <c r="F203" t="str">
        <f>IF(C203="","",(_xlfn.XLOOKUP(C203,'Loan Out'!A:A,'Loan Out'!E:E)))</f>
        <v/>
      </c>
      <c r="G203" t="str">
        <f>IF(C203="","",(_xlfn.XLOOKUP(C203,'Loan Out'!A:A,'Loan Out'!F:F)))</f>
        <v/>
      </c>
      <c r="H203" t="str">
        <f>IF(C203="","",(_xlfn.XLOOKUP(C203,'Loan Out'!A:A,'Loan Out'!G:G)))</f>
        <v/>
      </c>
      <c r="I203" t="str">
        <f>IF(C203="","",(_xlfn.XLOOKUP(C203,'Loan Out'!A:A,'Loan Out'!H:H)))</f>
        <v/>
      </c>
      <c r="J203" t="str">
        <f>IF(C203="","",(_xlfn.XLOOKUP(C203,'Loan Out'!A:A,'Loan Out'!I:I)))</f>
        <v/>
      </c>
      <c r="K203" t="str">
        <f>IF(C203="","",(_xlfn.XLOOKUP(C203,'Loan Out'!A:A,'Loan Out'!J:J)))</f>
        <v/>
      </c>
      <c r="L203" t="str">
        <f>IF(C203&lt;&gt;"",(SUMIF(Payments!C:C,C203,Payments!G:G)),"")</f>
        <v/>
      </c>
      <c r="M203" t="str">
        <f t="shared" si="17"/>
        <v/>
      </c>
      <c r="N203" t="str">
        <f t="shared" si="18"/>
        <v/>
      </c>
      <c r="O203" t="str">
        <f t="shared" si="19"/>
        <v/>
      </c>
      <c r="P203" s="1" t="str">
        <f>IF(B203&lt;&gt;"",(IF((_xlfn.XLOOKUP(C203,'Loan Out'!A:A,'Loan Out'!L:L))="Bad debt","Bad debt",IF(M203&gt;0,"Pending","Settled"))),"")</f>
        <v/>
      </c>
    </row>
    <row r="204" spans="1:16">
      <c r="A204" t="str">
        <f t="shared" si="15"/>
        <v/>
      </c>
      <c r="C204" t="str">
        <f t="shared" si="16"/>
        <v/>
      </c>
      <c r="D204" t="str">
        <f>IF(C204="","",(_xlfn.XLOOKUP(C204,'Loan Out'!A:A,'Loan Out'!J:J)))</f>
        <v/>
      </c>
      <c r="E204" t="str">
        <f>IF(C204="","",(_xlfn.XLOOKUP(C204,'Loan Out'!A:A,'Loan Out'!D:D)))</f>
        <v/>
      </c>
      <c r="F204" t="str">
        <f>IF(C204="","",(_xlfn.XLOOKUP(C204,'Loan Out'!A:A,'Loan Out'!E:E)))</f>
        <v/>
      </c>
      <c r="G204" t="str">
        <f>IF(C204="","",(_xlfn.XLOOKUP(C204,'Loan Out'!A:A,'Loan Out'!F:F)))</f>
        <v/>
      </c>
      <c r="H204" t="str">
        <f>IF(C204="","",(_xlfn.XLOOKUP(C204,'Loan Out'!A:A,'Loan Out'!G:G)))</f>
        <v/>
      </c>
      <c r="I204" t="str">
        <f>IF(C204="","",(_xlfn.XLOOKUP(C204,'Loan Out'!A:A,'Loan Out'!H:H)))</f>
        <v/>
      </c>
      <c r="J204" t="str">
        <f>IF(C204="","",(_xlfn.XLOOKUP(C204,'Loan Out'!A:A,'Loan Out'!I:I)))</f>
        <v/>
      </c>
      <c r="K204" t="str">
        <f>IF(C204="","",(_xlfn.XLOOKUP(C204,'Loan Out'!A:A,'Loan Out'!J:J)))</f>
        <v/>
      </c>
      <c r="L204" t="str">
        <f>IF(C204&lt;&gt;"",(SUMIF(Payments!C:C,C204,Payments!G:G)),"")</f>
        <v/>
      </c>
      <c r="M204" t="str">
        <f t="shared" si="17"/>
        <v/>
      </c>
      <c r="N204" t="str">
        <f t="shared" si="18"/>
        <v/>
      </c>
      <c r="O204" t="str">
        <f t="shared" si="19"/>
        <v/>
      </c>
      <c r="P204" s="1" t="str">
        <f>IF(B204&lt;&gt;"",(IF((_xlfn.XLOOKUP(C204,'Loan Out'!A:A,'Loan Out'!L:L))="Bad debt","Bad debt",IF(M204&gt;0,"Pending","Settled"))),"")</f>
        <v/>
      </c>
    </row>
    <row r="205" spans="1:16">
      <c r="A205" t="str">
        <f t="shared" si="15"/>
        <v/>
      </c>
      <c r="C205" t="str">
        <f t="shared" si="16"/>
        <v/>
      </c>
      <c r="D205" t="str">
        <f>IF(C205="","",(_xlfn.XLOOKUP(C205,'Loan Out'!A:A,'Loan Out'!J:J)))</f>
        <v/>
      </c>
      <c r="E205" t="str">
        <f>IF(C205="","",(_xlfn.XLOOKUP(C205,'Loan Out'!A:A,'Loan Out'!D:D)))</f>
        <v/>
      </c>
      <c r="F205" t="str">
        <f>IF(C205="","",(_xlfn.XLOOKUP(C205,'Loan Out'!A:A,'Loan Out'!E:E)))</f>
        <v/>
      </c>
      <c r="G205" t="str">
        <f>IF(C205="","",(_xlfn.XLOOKUP(C205,'Loan Out'!A:A,'Loan Out'!F:F)))</f>
        <v/>
      </c>
      <c r="H205" t="str">
        <f>IF(C205="","",(_xlfn.XLOOKUP(C205,'Loan Out'!A:A,'Loan Out'!G:G)))</f>
        <v/>
      </c>
      <c r="I205" t="str">
        <f>IF(C205="","",(_xlfn.XLOOKUP(C205,'Loan Out'!A:A,'Loan Out'!H:H)))</f>
        <v/>
      </c>
      <c r="J205" t="str">
        <f>IF(C205="","",(_xlfn.XLOOKUP(C205,'Loan Out'!A:A,'Loan Out'!I:I)))</f>
        <v/>
      </c>
      <c r="K205" t="str">
        <f>IF(C205="","",(_xlfn.XLOOKUP(C205,'Loan Out'!A:A,'Loan Out'!J:J)))</f>
        <v/>
      </c>
      <c r="L205" t="str">
        <f>IF(C205&lt;&gt;"",(SUMIF(Payments!C:C,C205,Payments!G:G)),"")</f>
        <v/>
      </c>
      <c r="M205" t="str">
        <f t="shared" si="17"/>
        <v/>
      </c>
      <c r="N205" t="str">
        <f t="shared" si="18"/>
        <v/>
      </c>
      <c r="O205" t="str">
        <f t="shared" si="19"/>
        <v/>
      </c>
      <c r="P205" s="1" t="str">
        <f>IF(B205&lt;&gt;"",(IF((_xlfn.XLOOKUP(C205,'Loan Out'!A:A,'Loan Out'!L:L))="Bad debt","Bad debt",IF(M205&gt;0,"Pending","Settled"))),"")</f>
        <v/>
      </c>
    </row>
    <row r="206" spans="1:16">
      <c r="A206" t="str">
        <f t="shared" si="15"/>
        <v/>
      </c>
      <c r="C206" t="str">
        <f t="shared" si="16"/>
        <v/>
      </c>
      <c r="D206" t="str">
        <f>IF(C206="","",(_xlfn.XLOOKUP(C206,'Loan Out'!A:A,'Loan Out'!J:J)))</f>
        <v/>
      </c>
      <c r="E206" t="str">
        <f>IF(C206="","",(_xlfn.XLOOKUP(C206,'Loan Out'!A:A,'Loan Out'!D:D)))</f>
        <v/>
      </c>
      <c r="F206" t="str">
        <f>IF(C206="","",(_xlfn.XLOOKUP(C206,'Loan Out'!A:A,'Loan Out'!E:E)))</f>
        <v/>
      </c>
      <c r="G206" t="str">
        <f>IF(C206="","",(_xlfn.XLOOKUP(C206,'Loan Out'!A:A,'Loan Out'!F:F)))</f>
        <v/>
      </c>
      <c r="H206" t="str">
        <f>IF(C206="","",(_xlfn.XLOOKUP(C206,'Loan Out'!A:A,'Loan Out'!G:G)))</f>
        <v/>
      </c>
      <c r="I206" t="str">
        <f>IF(C206="","",(_xlfn.XLOOKUP(C206,'Loan Out'!A:A,'Loan Out'!H:H)))</f>
        <v/>
      </c>
      <c r="J206" t="str">
        <f>IF(C206="","",(_xlfn.XLOOKUP(C206,'Loan Out'!A:A,'Loan Out'!I:I)))</f>
        <v/>
      </c>
      <c r="K206" t="str">
        <f>IF(C206="","",(_xlfn.XLOOKUP(C206,'Loan Out'!A:A,'Loan Out'!J:J)))</f>
        <v/>
      </c>
      <c r="L206" t="str">
        <f>IF(C206&lt;&gt;"",(SUMIF(Payments!C:C,C206,Payments!G:G)),"")</f>
        <v/>
      </c>
      <c r="M206" t="str">
        <f t="shared" si="17"/>
        <v/>
      </c>
      <c r="N206" t="str">
        <f t="shared" si="18"/>
        <v/>
      </c>
      <c r="O206" t="str">
        <f t="shared" si="19"/>
        <v/>
      </c>
      <c r="P206" s="1" t="str">
        <f>IF(B206&lt;&gt;"",(IF((_xlfn.XLOOKUP(C206,'Loan Out'!A:A,'Loan Out'!L:L))="Bad debt","Bad debt",IF(M206&gt;0,"Pending","Settled"))),"")</f>
        <v/>
      </c>
    </row>
    <row r="207" spans="1:16">
      <c r="A207" t="str">
        <f t="shared" si="15"/>
        <v/>
      </c>
      <c r="C207" t="str">
        <f t="shared" si="16"/>
        <v/>
      </c>
      <c r="D207" t="str">
        <f>IF(C207="","",(_xlfn.XLOOKUP(C207,'Loan Out'!A:A,'Loan Out'!J:J)))</f>
        <v/>
      </c>
      <c r="E207" t="str">
        <f>IF(C207="","",(_xlfn.XLOOKUP(C207,'Loan Out'!A:A,'Loan Out'!D:D)))</f>
        <v/>
      </c>
      <c r="F207" t="str">
        <f>IF(C207="","",(_xlfn.XLOOKUP(C207,'Loan Out'!A:A,'Loan Out'!E:E)))</f>
        <v/>
      </c>
      <c r="G207" t="str">
        <f>IF(C207="","",(_xlfn.XLOOKUP(C207,'Loan Out'!A:A,'Loan Out'!F:F)))</f>
        <v/>
      </c>
      <c r="H207" t="str">
        <f>IF(C207="","",(_xlfn.XLOOKUP(C207,'Loan Out'!A:A,'Loan Out'!G:G)))</f>
        <v/>
      </c>
      <c r="I207" t="str">
        <f>IF(C207="","",(_xlfn.XLOOKUP(C207,'Loan Out'!A:A,'Loan Out'!H:H)))</f>
        <v/>
      </c>
      <c r="J207" t="str">
        <f>IF(C207="","",(_xlfn.XLOOKUP(C207,'Loan Out'!A:A,'Loan Out'!I:I)))</f>
        <v/>
      </c>
      <c r="K207" t="str">
        <f>IF(C207="","",(_xlfn.XLOOKUP(C207,'Loan Out'!A:A,'Loan Out'!J:J)))</f>
        <v/>
      </c>
      <c r="L207" t="str">
        <f>IF(C207&lt;&gt;"",(SUMIF(Payments!C:C,C207,Payments!G:G)),"")</f>
        <v/>
      </c>
      <c r="M207" t="str">
        <f t="shared" si="17"/>
        <v/>
      </c>
      <c r="N207" t="str">
        <f t="shared" si="18"/>
        <v/>
      </c>
      <c r="O207" t="str">
        <f t="shared" si="19"/>
        <v/>
      </c>
      <c r="P207" s="1" t="str">
        <f>IF(B207&lt;&gt;"",(IF((_xlfn.XLOOKUP(C207,'Loan Out'!A:A,'Loan Out'!L:L))="Bad debt","Bad debt",IF(M207&gt;0,"Pending","Settled"))),"")</f>
        <v/>
      </c>
    </row>
    <row r="208" spans="1:16">
      <c r="A208" t="str">
        <f t="shared" si="15"/>
        <v/>
      </c>
      <c r="C208" t="str">
        <f t="shared" si="16"/>
        <v/>
      </c>
      <c r="D208" t="str">
        <f>IF(C208="","",(_xlfn.XLOOKUP(C208,'Loan Out'!A:A,'Loan Out'!J:J)))</f>
        <v/>
      </c>
      <c r="E208" t="str">
        <f>IF(C208="","",(_xlfn.XLOOKUP(C208,'Loan Out'!A:A,'Loan Out'!D:D)))</f>
        <v/>
      </c>
      <c r="F208" t="str">
        <f>IF(C208="","",(_xlfn.XLOOKUP(C208,'Loan Out'!A:A,'Loan Out'!E:E)))</f>
        <v/>
      </c>
      <c r="G208" t="str">
        <f>IF(C208="","",(_xlfn.XLOOKUP(C208,'Loan Out'!A:A,'Loan Out'!F:F)))</f>
        <v/>
      </c>
      <c r="H208" t="str">
        <f>IF(C208="","",(_xlfn.XLOOKUP(C208,'Loan Out'!A:A,'Loan Out'!G:G)))</f>
        <v/>
      </c>
      <c r="I208" t="str">
        <f>IF(C208="","",(_xlfn.XLOOKUP(C208,'Loan Out'!A:A,'Loan Out'!H:H)))</f>
        <v/>
      </c>
      <c r="J208" t="str">
        <f>IF(C208="","",(_xlfn.XLOOKUP(C208,'Loan Out'!A:A,'Loan Out'!I:I)))</f>
        <v/>
      </c>
      <c r="K208" t="str">
        <f>IF(C208="","",(_xlfn.XLOOKUP(C208,'Loan Out'!A:A,'Loan Out'!J:J)))</f>
        <v/>
      </c>
      <c r="L208" t="str">
        <f>IF(C208&lt;&gt;"",(SUMIF(Payments!C:C,C208,Payments!G:G)),"")</f>
        <v/>
      </c>
      <c r="M208" t="str">
        <f t="shared" si="17"/>
        <v/>
      </c>
      <c r="N208" t="str">
        <f t="shared" si="18"/>
        <v/>
      </c>
      <c r="O208" t="str">
        <f t="shared" si="19"/>
        <v/>
      </c>
      <c r="P208" s="1" t="str">
        <f>IF(B208&lt;&gt;"",(IF((_xlfn.XLOOKUP(C208,'Loan Out'!A:A,'Loan Out'!L:L))="Bad debt","Bad debt",IF(M208&gt;0,"Pending","Settled"))),"")</f>
        <v/>
      </c>
    </row>
    <row r="209" spans="1:16">
      <c r="A209" t="str">
        <f t="shared" si="15"/>
        <v/>
      </c>
      <c r="C209" t="str">
        <f t="shared" si="16"/>
        <v/>
      </c>
      <c r="D209" t="str">
        <f>IF(C209="","",(_xlfn.XLOOKUP(C209,'Loan Out'!A:A,'Loan Out'!J:J)))</f>
        <v/>
      </c>
      <c r="E209" t="str">
        <f>IF(C209="","",(_xlfn.XLOOKUP(C209,'Loan Out'!A:A,'Loan Out'!D:D)))</f>
        <v/>
      </c>
      <c r="F209" t="str">
        <f>IF(C209="","",(_xlfn.XLOOKUP(C209,'Loan Out'!A:A,'Loan Out'!E:E)))</f>
        <v/>
      </c>
      <c r="G209" t="str">
        <f>IF(C209="","",(_xlfn.XLOOKUP(C209,'Loan Out'!A:A,'Loan Out'!F:F)))</f>
        <v/>
      </c>
      <c r="H209" t="str">
        <f>IF(C209="","",(_xlfn.XLOOKUP(C209,'Loan Out'!A:A,'Loan Out'!G:G)))</f>
        <v/>
      </c>
      <c r="I209" t="str">
        <f>IF(C209="","",(_xlfn.XLOOKUP(C209,'Loan Out'!A:A,'Loan Out'!H:H)))</f>
        <v/>
      </c>
      <c r="J209" t="str">
        <f>IF(C209="","",(_xlfn.XLOOKUP(C209,'Loan Out'!A:A,'Loan Out'!I:I)))</f>
        <v/>
      </c>
      <c r="K209" t="str">
        <f>IF(C209="","",(_xlfn.XLOOKUP(C209,'Loan Out'!A:A,'Loan Out'!J:J)))</f>
        <v/>
      </c>
      <c r="L209" t="str">
        <f>IF(C209&lt;&gt;"",(SUMIF(Payments!C:C,C209,Payments!G:G)),"")</f>
        <v/>
      </c>
      <c r="M209" t="str">
        <f t="shared" si="17"/>
        <v/>
      </c>
      <c r="N209" t="str">
        <f t="shared" si="18"/>
        <v/>
      </c>
      <c r="O209" t="str">
        <f t="shared" si="19"/>
        <v/>
      </c>
      <c r="P209" s="1" t="str">
        <f>IF(B209&lt;&gt;"",(IF((_xlfn.XLOOKUP(C209,'Loan Out'!A:A,'Loan Out'!L:L))="Bad debt","Bad debt",IF(M209&gt;0,"Pending","Settled"))),"")</f>
        <v/>
      </c>
    </row>
    <row r="210" spans="1:16">
      <c r="A210" t="str">
        <f t="shared" si="15"/>
        <v/>
      </c>
      <c r="C210" t="str">
        <f t="shared" si="16"/>
        <v/>
      </c>
      <c r="D210" t="str">
        <f>IF(C210="","",(_xlfn.XLOOKUP(C210,'Loan Out'!A:A,'Loan Out'!J:J)))</f>
        <v/>
      </c>
      <c r="E210" t="str">
        <f>IF(C210="","",(_xlfn.XLOOKUP(C210,'Loan Out'!A:A,'Loan Out'!D:D)))</f>
        <v/>
      </c>
      <c r="F210" t="str">
        <f>IF(C210="","",(_xlfn.XLOOKUP(C210,'Loan Out'!A:A,'Loan Out'!E:E)))</f>
        <v/>
      </c>
      <c r="G210" t="str">
        <f>IF(C210="","",(_xlfn.XLOOKUP(C210,'Loan Out'!A:A,'Loan Out'!F:F)))</f>
        <v/>
      </c>
      <c r="H210" t="str">
        <f>IF(C210="","",(_xlfn.XLOOKUP(C210,'Loan Out'!A:A,'Loan Out'!G:G)))</f>
        <v/>
      </c>
      <c r="I210" t="str">
        <f>IF(C210="","",(_xlfn.XLOOKUP(C210,'Loan Out'!A:A,'Loan Out'!H:H)))</f>
        <v/>
      </c>
      <c r="J210" t="str">
        <f>IF(C210="","",(_xlfn.XLOOKUP(C210,'Loan Out'!A:A,'Loan Out'!I:I)))</f>
        <v/>
      </c>
      <c r="K210" t="str">
        <f>IF(C210="","",(_xlfn.XLOOKUP(C210,'Loan Out'!A:A,'Loan Out'!J:J)))</f>
        <v/>
      </c>
      <c r="L210" t="str">
        <f>IF(C210&lt;&gt;"",(SUMIF(Payments!C:C,C210,Payments!G:G)),"")</f>
        <v/>
      </c>
      <c r="M210" t="str">
        <f t="shared" si="17"/>
        <v/>
      </c>
      <c r="N210" t="str">
        <f t="shared" si="18"/>
        <v/>
      </c>
      <c r="O210" t="str">
        <f t="shared" si="19"/>
        <v/>
      </c>
      <c r="P210" s="1" t="str">
        <f>IF(B210&lt;&gt;"",(IF((_xlfn.XLOOKUP(C210,'Loan Out'!A:A,'Loan Out'!L:L))="Bad debt","Bad debt",IF(M210&gt;0,"Pending","Settled"))),"")</f>
        <v/>
      </c>
    </row>
    <row r="211" spans="1:16">
      <c r="A211" t="str">
        <f t="shared" si="15"/>
        <v/>
      </c>
      <c r="C211" t="str">
        <f t="shared" si="16"/>
        <v/>
      </c>
      <c r="D211" t="str">
        <f>IF(C211="","",(_xlfn.XLOOKUP(C211,'Loan Out'!A:A,'Loan Out'!J:J)))</f>
        <v/>
      </c>
      <c r="E211" t="str">
        <f>IF(C211="","",(_xlfn.XLOOKUP(C211,'Loan Out'!A:A,'Loan Out'!D:D)))</f>
        <v/>
      </c>
      <c r="F211" t="str">
        <f>IF(C211="","",(_xlfn.XLOOKUP(C211,'Loan Out'!A:A,'Loan Out'!E:E)))</f>
        <v/>
      </c>
      <c r="G211" t="str">
        <f>IF(C211="","",(_xlfn.XLOOKUP(C211,'Loan Out'!A:A,'Loan Out'!F:F)))</f>
        <v/>
      </c>
      <c r="H211" t="str">
        <f>IF(C211="","",(_xlfn.XLOOKUP(C211,'Loan Out'!A:A,'Loan Out'!G:G)))</f>
        <v/>
      </c>
      <c r="I211" t="str">
        <f>IF(C211="","",(_xlfn.XLOOKUP(C211,'Loan Out'!A:A,'Loan Out'!H:H)))</f>
        <v/>
      </c>
      <c r="J211" t="str">
        <f>IF(C211="","",(_xlfn.XLOOKUP(C211,'Loan Out'!A:A,'Loan Out'!I:I)))</f>
        <v/>
      </c>
      <c r="K211" t="str">
        <f>IF(C211="","",(_xlfn.XLOOKUP(C211,'Loan Out'!A:A,'Loan Out'!J:J)))</f>
        <v/>
      </c>
      <c r="L211" t="str">
        <f>IF(C211&lt;&gt;"",(SUMIF(Payments!C:C,C211,Payments!G:G)),"")</f>
        <v/>
      </c>
      <c r="M211" t="str">
        <f t="shared" si="17"/>
        <v/>
      </c>
      <c r="N211" t="str">
        <f t="shared" si="18"/>
        <v/>
      </c>
      <c r="O211" t="str">
        <f t="shared" si="19"/>
        <v/>
      </c>
      <c r="P211" s="1" t="str">
        <f>IF(B211&lt;&gt;"",(IF((_xlfn.XLOOKUP(C211,'Loan Out'!A:A,'Loan Out'!L:L))="Bad debt","Bad debt",IF(M211&gt;0,"Pending","Settled"))),"")</f>
        <v/>
      </c>
    </row>
    <row r="212" spans="1:16">
      <c r="A212" t="str">
        <f t="shared" si="15"/>
        <v/>
      </c>
      <c r="C212" t="str">
        <f t="shared" si="16"/>
        <v/>
      </c>
      <c r="D212" t="str">
        <f>IF(C212="","",(_xlfn.XLOOKUP(C212,'Loan Out'!A:A,'Loan Out'!J:J)))</f>
        <v/>
      </c>
      <c r="E212" t="str">
        <f>IF(C212="","",(_xlfn.XLOOKUP(C212,'Loan Out'!A:A,'Loan Out'!D:D)))</f>
        <v/>
      </c>
      <c r="F212" t="str">
        <f>IF(C212="","",(_xlfn.XLOOKUP(C212,'Loan Out'!A:A,'Loan Out'!E:E)))</f>
        <v/>
      </c>
      <c r="G212" t="str">
        <f>IF(C212="","",(_xlfn.XLOOKUP(C212,'Loan Out'!A:A,'Loan Out'!F:F)))</f>
        <v/>
      </c>
      <c r="H212" t="str">
        <f>IF(C212="","",(_xlfn.XLOOKUP(C212,'Loan Out'!A:A,'Loan Out'!G:G)))</f>
        <v/>
      </c>
      <c r="I212" t="str">
        <f>IF(C212="","",(_xlfn.XLOOKUP(C212,'Loan Out'!A:A,'Loan Out'!H:H)))</f>
        <v/>
      </c>
      <c r="J212" t="str">
        <f>IF(C212="","",(_xlfn.XLOOKUP(C212,'Loan Out'!A:A,'Loan Out'!I:I)))</f>
        <v/>
      </c>
      <c r="K212" t="str">
        <f>IF(C212="","",(_xlfn.XLOOKUP(C212,'Loan Out'!A:A,'Loan Out'!J:J)))</f>
        <v/>
      </c>
      <c r="L212" t="str">
        <f>IF(C212&lt;&gt;"",(SUMIF(Payments!C:C,C212,Payments!G:G)),"")</f>
        <v/>
      </c>
      <c r="M212" t="str">
        <f t="shared" si="17"/>
        <v/>
      </c>
      <c r="N212" t="str">
        <f t="shared" si="18"/>
        <v/>
      </c>
      <c r="O212" t="str">
        <f t="shared" si="19"/>
        <v/>
      </c>
      <c r="P212" s="1" t="str">
        <f>IF(B212&lt;&gt;"",(IF((_xlfn.XLOOKUP(C212,'Loan Out'!A:A,'Loan Out'!L:L))="Bad debt","Bad debt",IF(M212&gt;0,"Pending","Settled"))),"")</f>
        <v/>
      </c>
    </row>
    <row r="213" spans="1:16">
      <c r="A213" t="str">
        <f t="shared" si="15"/>
        <v/>
      </c>
      <c r="C213" t="str">
        <f t="shared" si="16"/>
        <v/>
      </c>
      <c r="D213" t="str">
        <f>IF(C213="","",(_xlfn.XLOOKUP(C213,'Loan Out'!A:A,'Loan Out'!J:J)))</f>
        <v/>
      </c>
      <c r="E213" t="str">
        <f>IF(C213="","",(_xlfn.XLOOKUP(C213,'Loan Out'!A:A,'Loan Out'!D:D)))</f>
        <v/>
      </c>
      <c r="F213" t="str">
        <f>IF(C213="","",(_xlfn.XLOOKUP(C213,'Loan Out'!A:A,'Loan Out'!E:E)))</f>
        <v/>
      </c>
      <c r="G213" t="str">
        <f>IF(C213="","",(_xlfn.XLOOKUP(C213,'Loan Out'!A:A,'Loan Out'!F:F)))</f>
        <v/>
      </c>
      <c r="H213" t="str">
        <f>IF(C213="","",(_xlfn.XLOOKUP(C213,'Loan Out'!A:A,'Loan Out'!G:G)))</f>
        <v/>
      </c>
      <c r="I213" t="str">
        <f>IF(C213="","",(_xlfn.XLOOKUP(C213,'Loan Out'!A:A,'Loan Out'!H:H)))</f>
        <v/>
      </c>
      <c r="J213" t="str">
        <f>IF(C213="","",(_xlfn.XLOOKUP(C213,'Loan Out'!A:A,'Loan Out'!I:I)))</f>
        <v/>
      </c>
      <c r="K213" t="str">
        <f>IF(C213="","",(_xlfn.XLOOKUP(C213,'Loan Out'!A:A,'Loan Out'!J:J)))</f>
        <v/>
      </c>
      <c r="L213" t="str">
        <f>IF(C213&lt;&gt;"",(SUMIF(Payments!C:C,C213,Payments!G:G)),"")</f>
        <v/>
      </c>
      <c r="M213" t="str">
        <f t="shared" si="17"/>
        <v/>
      </c>
      <c r="N213" t="str">
        <f t="shared" si="18"/>
        <v/>
      </c>
      <c r="O213" t="str">
        <f t="shared" si="19"/>
        <v/>
      </c>
      <c r="P213" s="1" t="str">
        <f>IF(B213&lt;&gt;"",(IF((_xlfn.XLOOKUP(C213,'Loan Out'!A:A,'Loan Out'!L:L))="Bad debt","Bad debt",IF(M213&gt;0,"Pending","Settled"))),"")</f>
        <v/>
      </c>
    </row>
    <row r="214" spans="1:16">
      <c r="A214" t="str">
        <f t="shared" si="15"/>
        <v/>
      </c>
      <c r="C214" t="str">
        <f t="shared" si="16"/>
        <v/>
      </c>
      <c r="D214" t="str">
        <f>IF(C214="","",(_xlfn.XLOOKUP(C214,'Loan Out'!A:A,'Loan Out'!J:J)))</f>
        <v/>
      </c>
      <c r="E214" t="str">
        <f>IF(C214="","",(_xlfn.XLOOKUP(C214,'Loan Out'!A:A,'Loan Out'!D:D)))</f>
        <v/>
      </c>
      <c r="F214" t="str">
        <f>IF(C214="","",(_xlfn.XLOOKUP(C214,'Loan Out'!A:A,'Loan Out'!E:E)))</f>
        <v/>
      </c>
      <c r="G214" t="str">
        <f>IF(C214="","",(_xlfn.XLOOKUP(C214,'Loan Out'!A:A,'Loan Out'!F:F)))</f>
        <v/>
      </c>
      <c r="H214" t="str">
        <f>IF(C214="","",(_xlfn.XLOOKUP(C214,'Loan Out'!A:A,'Loan Out'!G:G)))</f>
        <v/>
      </c>
      <c r="I214" t="str">
        <f>IF(C214="","",(_xlfn.XLOOKUP(C214,'Loan Out'!A:A,'Loan Out'!H:H)))</f>
        <v/>
      </c>
      <c r="J214" t="str">
        <f>IF(C214="","",(_xlfn.XLOOKUP(C214,'Loan Out'!A:A,'Loan Out'!I:I)))</f>
        <v/>
      </c>
      <c r="K214" t="str">
        <f>IF(C214="","",(_xlfn.XLOOKUP(C214,'Loan Out'!A:A,'Loan Out'!J:J)))</f>
        <v/>
      </c>
      <c r="L214" t="str">
        <f>IF(C214&lt;&gt;"",(SUMIF(Payments!C:C,C214,Payments!G:G)),"")</f>
        <v/>
      </c>
      <c r="M214" t="str">
        <f t="shared" si="17"/>
        <v/>
      </c>
      <c r="N214" t="str">
        <f t="shared" si="18"/>
        <v/>
      </c>
      <c r="O214" t="str">
        <f t="shared" si="19"/>
        <v/>
      </c>
      <c r="P214" s="1" t="str">
        <f>IF(B214&lt;&gt;"",(IF((_xlfn.XLOOKUP(C214,'Loan Out'!A:A,'Loan Out'!L:L))="Bad debt","Bad debt",IF(M214&gt;0,"Pending","Settled"))),"")</f>
        <v/>
      </c>
    </row>
    <row r="215" spans="1:16">
      <c r="A215" t="str">
        <f t="shared" si="15"/>
        <v/>
      </c>
      <c r="C215" t="str">
        <f t="shared" si="16"/>
        <v/>
      </c>
      <c r="D215" t="str">
        <f>IF(C215="","",(_xlfn.XLOOKUP(C215,'Loan Out'!A:A,'Loan Out'!J:J)))</f>
        <v/>
      </c>
      <c r="E215" t="str">
        <f>IF(C215="","",(_xlfn.XLOOKUP(C215,'Loan Out'!A:A,'Loan Out'!D:D)))</f>
        <v/>
      </c>
      <c r="F215" t="str">
        <f>IF(C215="","",(_xlfn.XLOOKUP(C215,'Loan Out'!A:A,'Loan Out'!E:E)))</f>
        <v/>
      </c>
      <c r="G215" t="str">
        <f>IF(C215="","",(_xlfn.XLOOKUP(C215,'Loan Out'!A:A,'Loan Out'!F:F)))</f>
        <v/>
      </c>
      <c r="H215" t="str">
        <f>IF(C215="","",(_xlfn.XLOOKUP(C215,'Loan Out'!A:A,'Loan Out'!G:G)))</f>
        <v/>
      </c>
      <c r="I215" t="str">
        <f>IF(C215="","",(_xlfn.XLOOKUP(C215,'Loan Out'!A:A,'Loan Out'!H:H)))</f>
        <v/>
      </c>
      <c r="J215" t="str">
        <f>IF(C215="","",(_xlfn.XLOOKUP(C215,'Loan Out'!A:A,'Loan Out'!I:I)))</f>
        <v/>
      </c>
      <c r="K215" t="str">
        <f>IF(C215="","",(_xlfn.XLOOKUP(C215,'Loan Out'!A:A,'Loan Out'!J:J)))</f>
        <v/>
      </c>
      <c r="L215" t="str">
        <f>IF(C215&lt;&gt;"",(SUMIF(Payments!C:C,C215,Payments!G:G)),"")</f>
        <v/>
      </c>
      <c r="M215" t="str">
        <f t="shared" si="17"/>
        <v/>
      </c>
      <c r="N215" t="str">
        <f t="shared" si="18"/>
        <v/>
      </c>
      <c r="O215" t="str">
        <f t="shared" si="19"/>
        <v/>
      </c>
      <c r="P215" s="1" t="str">
        <f>IF(B215&lt;&gt;"",(IF((_xlfn.XLOOKUP(C215,'Loan Out'!A:A,'Loan Out'!L:L))="Bad debt","Bad debt",IF(M215&gt;0,"Pending","Settled"))),"")</f>
        <v/>
      </c>
    </row>
    <row r="216" spans="1:16">
      <c r="A216" t="str">
        <f t="shared" si="15"/>
        <v/>
      </c>
      <c r="C216" t="str">
        <f t="shared" si="16"/>
        <v/>
      </c>
      <c r="D216" t="str">
        <f>IF(C216="","",(_xlfn.XLOOKUP(C216,'Loan Out'!A:A,'Loan Out'!J:J)))</f>
        <v/>
      </c>
      <c r="E216" t="str">
        <f>IF(C216="","",(_xlfn.XLOOKUP(C216,'Loan Out'!A:A,'Loan Out'!D:D)))</f>
        <v/>
      </c>
      <c r="F216" t="str">
        <f>IF(C216="","",(_xlfn.XLOOKUP(C216,'Loan Out'!A:A,'Loan Out'!E:E)))</f>
        <v/>
      </c>
      <c r="G216" t="str">
        <f>IF(C216="","",(_xlfn.XLOOKUP(C216,'Loan Out'!A:A,'Loan Out'!F:F)))</f>
        <v/>
      </c>
      <c r="H216" t="str">
        <f>IF(C216="","",(_xlfn.XLOOKUP(C216,'Loan Out'!A:A,'Loan Out'!G:G)))</f>
        <v/>
      </c>
      <c r="I216" t="str">
        <f>IF(C216="","",(_xlfn.XLOOKUP(C216,'Loan Out'!A:A,'Loan Out'!H:H)))</f>
        <v/>
      </c>
      <c r="J216" t="str">
        <f>IF(C216="","",(_xlfn.XLOOKUP(C216,'Loan Out'!A:A,'Loan Out'!I:I)))</f>
        <v/>
      </c>
      <c r="K216" t="str">
        <f>IF(C216="","",(_xlfn.XLOOKUP(C216,'Loan Out'!A:A,'Loan Out'!J:J)))</f>
        <v/>
      </c>
      <c r="L216" t="str">
        <f>IF(C216&lt;&gt;"",(SUMIF(Payments!C:C,C216,Payments!G:G)),"")</f>
        <v/>
      </c>
      <c r="M216" t="str">
        <f t="shared" si="17"/>
        <v/>
      </c>
      <c r="N216" t="str">
        <f t="shared" si="18"/>
        <v/>
      </c>
      <c r="O216" t="str">
        <f t="shared" si="19"/>
        <v/>
      </c>
      <c r="P216" s="1" t="str">
        <f>IF(B216&lt;&gt;"",(IF((_xlfn.XLOOKUP(C216,'Loan Out'!A:A,'Loan Out'!L:L))="Bad debt","Bad debt",IF(M216&gt;0,"Pending","Settled"))),"")</f>
        <v/>
      </c>
    </row>
    <row r="217" spans="1:16">
      <c r="A217" t="str">
        <f t="shared" si="15"/>
        <v/>
      </c>
      <c r="C217" t="str">
        <f t="shared" si="16"/>
        <v/>
      </c>
      <c r="D217" t="str">
        <f>IF(C217="","",(_xlfn.XLOOKUP(C217,'Loan Out'!A:A,'Loan Out'!J:J)))</f>
        <v/>
      </c>
      <c r="E217" t="str">
        <f>IF(C217="","",(_xlfn.XLOOKUP(C217,'Loan Out'!A:A,'Loan Out'!D:D)))</f>
        <v/>
      </c>
      <c r="F217" t="str">
        <f>IF(C217="","",(_xlfn.XLOOKUP(C217,'Loan Out'!A:A,'Loan Out'!E:E)))</f>
        <v/>
      </c>
      <c r="G217" t="str">
        <f>IF(C217="","",(_xlfn.XLOOKUP(C217,'Loan Out'!A:A,'Loan Out'!F:F)))</f>
        <v/>
      </c>
      <c r="H217" t="str">
        <f>IF(C217="","",(_xlfn.XLOOKUP(C217,'Loan Out'!A:A,'Loan Out'!G:G)))</f>
        <v/>
      </c>
      <c r="I217" t="str">
        <f>IF(C217="","",(_xlfn.XLOOKUP(C217,'Loan Out'!A:A,'Loan Out'!H:H)))</f>
        <v/>
      </c>
      <c r="J217" t="str">
        <f>IF(C217="","",(_xlfn.XLOOKUP(C217,'Loan Out'!A:A,'Loan Out'!I:I)))</f>
        <v/>
      </c>
      <c r="K217" t="str">
        <f>IF(C217="","",(_xlfn.XLOOKUP(C217,'Loan Out'!A:A,'Loan Out'!J:J)))</f>
        <v/>
      </c>
      <c r="L217" t="str">
        <f>IF(C217&lt;&gt;"",(SUMIF(Payments!C:C,C217,Payments!G:G)),"")</f>
        <v/>
      </c>
      <c r="M217" t="str">
        <f t="shared" si="17"/>
        <v/>
      </c>
      <c r="N217" t="str">
        <f t="shared" si="18"/>
        <v/>
      </c>
      <c r="O217" t="str">
        <f t="shared" si="19"/>
        <v/>
      </c>
      <c r="P217" s="1" t="str">
        <f>IF(B217&lt;&gt;"",(IF((_xlfn.XLOOKUP(C217,'Loan Out'!A:A,'Loan Out'!L:L))="Bad debt","Bad debt",IF(M217&gt;0,"Pending","Settled"))),"")</f>
        <v/>
      </c>
    </row>
    <row r="218" spans="1:16">
      <c r="A218" t="str">
        <f t="shared" si="15"/>
        <v/>
      </c>
      <c r="C218" t="str">
        <f t="shared" si="16"/>
        <v/>
      </c>
      <c r="D218" t="str">
        <f>IF(C218="","",(_xlfn.XLOOKUP(C218,'Loan Out'!A:A,'Loan Out'!J:J)))</f>
        <v/>
      </c>
      <c r="E218" t="str">
        <f>IF(C218="","",(_xlfn.XLOOKUP(C218,'Loan Out'!A:A,'Loan Out'!D:D)))</f>
        <v/>
      </c>
      <c r="F218" t="str">
        <f>IF(C218="","",(_xlfn.XLOOKUP(C218,'Loan Out'!A:A,'Loan Out'!E:E)))</f>
        <v/>
      </c>
      <c r="G218" t="str">
        <f>IF(C218="","",(_xlfn.XLOOKUP(C218,'Loan Out'!A:A,'Loan Out'!F:F)))</f>
        <v/>
      </c>
      <c r="H218" t="str">
        <f>IF(C218="","",(_xlfn.XLOOKUP(C218,'Loan Out'!A:A,'Loan Out'!G:G)))</f>
        <v/>
      </c>
      <c r="I218" t="str">
        <f>IF(C218="","",(_xlfn.XLOOKUP(C218,'Loan Out'!A:A,'Loan Out'!H:H)))</f>
        <v/>
      </c>
      <c r="J218" t="str">
        <f>IF(C218="","",(_xlfn.XLOOKUP(C218,'Loan Out'!A:A,'Loan Out'!I:I)))</f>
        <v/>
      </c>
      <c r="K218" t="str">
        <f>IF(C218="","",(_xlfn.XLOOKUP(C218,'Loan Out'!A:A,'Loan Out'!J:J)))</f>
        <v/>
      </c>
      <c r="L218" t="str">
        <f>IF(C218&lt;&gt;"",(SUMIF(Payments!C:C,C218,Payments!G:G)),"")</f>
        <v/>
      </c>
      <c r="M218" t="str">
        <f t="shared" si="17"/>
        <v/>
      </c>
      <c r="N218" t="str">
        <f t="shared" si="18"/>
        <v/>
      </c>
      <c r="O218" t="str">
        <f t="shared" si="19"/>
        <v/>
      </c>
      <c r="P218" s="1" t="str">
        <f>IF(B218&lt;&gt;"",(IF((_xlfn.XLOOKUP(C218,'Loan Out'!A:A,'Loan Out'!L:L))="Bad debt","Bad debt",IF(M218&gt;0,"Pending","Settled"))),"")</f>
        <v/>
      </c>
    </row>
    <row r="219" spans="1:16">
      <c r="A219" t="str">
        <f t="shared" si="15"/>
        <v/>
      </c>
      <c r="C219" t="str">
        <f t="shared" si="16"/>
        <v/>
      </c>
      <c r="D219" t="str">
        <f>IF(C219="","",(_xlfn.XLOOKUP(C219,'Loan Out'!A:A,'Loan Out'!J:J)))</f>
        <v/>
      </c>
      <c r="E219" t="str">
        <f>IF(C219="","",(_xlfn.XLOOKUP(C219,'Loan Out'!A:A,'Loan Out'!D:D)))</f>
        <v/>
      </c>
      <c r="F219" t="str">
        <f>IF(C219="","",(_xlfn.XLOOKUP(C219,'Loan Out'!A:A,'Loan Out'!E:E)))</f>
        <v/>
      </c>
      <c r="G219" t="str">
        <f>IF(C219="","",(_xlfn.XLOOKUP(C219,'Loan Out'!A:A,'Loan Out'!F:F)))</f>
        <v/>
      </c>
      <c r="H219" t="str">
        <f>IF(C219="","",(_xlfn.XLOOKUP(C219,'Loan Out'!A:A,'Loan Out'!G:G)))</f>
        <v/>
      </c>
      <c r="I219" t="str">
        <f>IF(C219="","",(_xlfn.XLOOKUP(C219,'Loan Out'!A:A,'Loan Out'!H:H)))</f>
        <v/>
      </c>
      <c r="J219" t="str">
        <f>IF(C219="","",(_xlfn.XLOOKUP(C219,'Loan Out'!A:A,'Loan Out'!I:I)))</f>
        <v/>
      </c>
      <c r="K219" t="str">
        <f>IF(C219="","",(_xlfn.XLOOKUP(C219,'Loan Out'!A:A,'Loan Out'!J:J)))</f>
        <v/>
      </c>
      <c r="L219" t="str">
        <f>IF(C219&lt;&gt;"",(SUMIF(Payments!C:C,C219,Payments!G:G)),"")</f>
        <v/>
      </c>
      <c r="M219" t="str">
        <f t="shared" si="17"/>
        <v/>
      </c>
      <c r="N219" t="str">
        <f t="shared" si="18"/>
        <v/>
      </c>
      <c r="O219" t="str">
        <f t="shared" si="19"/>
        <v/>
      </c>
      <c r="P219" s="1" t="str">
        <f>IF(B219&lt;&gt;"",(IF((_xlfn.XLOOKUP(C219,'Loan Out'!A:A,'Loan Out'!L:L))="Bad debt","Bad debt",IF(M219&gt;0,"Pending","Settled"))),"")</f>
        <v/>
      </c>
    </row>
    <row r="220" spans="1:16">
      <c r="A220" t="str">
        <f t="shared" si="15"/>
        <v/>
      </c>
      <c r="C220" t="str">
        <f t="shared" si="16"/>
        <v/>
      </c>
      <c r="D220" t="str">
        <f>IF(C220="","",(_xlfn.XLOOKUP(C220,'Loan Out'!A:A,'Loan Out'!J:J)))</f>
        <v/>
      </c>
      <c r="E220" t="str">
        <f>IF(C220="","",(_xlfn.XLOOKUP(C220,'Loan Out'!A:A,'Loan Out'!D:D)))</f>
        <v/>
      </c>
      <c r="F220" t="str">
        <f>IF(C220="","",(_xlfn.XLOOKUP(C220,'Loan Out'!A:A,'Loan Out'!E:E)))</f>
        <v/>
      </c>
      <c r="G220" t="str">
        <f>IF(C220="","",(_xlfn.XLOOKUP(C220,'Loan Out'!A:A,'Loan Out'!F:F)))</f>
        <v/>
      </c>
      <c r="H220" t="str">
        <f>IF(C220="","",(_xlfn.XLOOKUP(C220,'Loan Out'!A:A,'Loan Out'!G:G)))</f>
        <v/>
      </c>
      <c r="I220" t="str">
        <f>IF(C220="","",(_xlfn.XLOOKUP(C220,'Loan Out'!A:A,'Loan Out'!H:H)))</f>
        <v/>
      </c>
      <c r="J220" t="str">
        <f>IF(C220="","",(_xlfn.XLOOKUP(C220,'Loan Out'!A:A,'Loan Out'!I:I)))</f>
        <v/>
      </c>
      <c r="K220" t="str">
        <f>IF(C220="","",(_xlfn.XLOOKUP(C220,'Loan Out'!A:A,'Loan Out'!J:J)))</f>
        <v/>
      </c>
      <c r="L220" t="str">
        <f>IF(C220&lt;&gt;"",(SUMIF(Payments!C:C,C220,Payments!G:G)),"")</f>
        <v/>
      </c>
      <c r="M220" t="str">
        <f t="shared" si="17"/>
        <v/>
      </c>
      <c r="N220" t="str">
        <f t="shared" si="18"/>
        <v/>
      </c>
      <c r="O220" t="str">
        <f t="shared" si="19"/>
        <v/>
      </c>
      <c r="P220" s="1" t="str">
        <f>IF(B220&lt;&gt;"",(IF((_xlfn.XLOOKUP(C220,'Loan Out'!A:A,'Loan Out'!L:L))="Bad debt","Bad debt",IF(M220&gt;0,"Pending","Settled"))),"")</f>
        <v/>
      </c>
    </row>
    <row r="221" spans="1:16">
      <c r="A221" t="str">
        <f t="shared" si="15"/>
        <v/>
      </c>
      <c r="C221" t="str">
        <f t="shared" si="16"/>
        <v/>
      </c>
      <c r="D221" t="str">
        <f>IF(C221="","",(_xlfn.XLOOKUP(C221,'Loan Out'!A:A,'Loan Out'!J:J)))</f>
        <v/>
      </c>
      <c r="E221" t="str">
        <f>IF(C221="","",(_xlfn.XLOOKUP(C221,'Loan Out'!A:A,'Loan Out'!D:D)))</f>
        <v/>
      </c>
      <c r="F221" t="str">
        <f>IF(C221="","",(_xlfn.XLOOKUP(C221,'Loan Out'!A:A,'Loan Out'!E:E)))</f>
        <v/>
      </c>
      <c r="G221" t="str">
        <f>IF(C221="","",(_xlfn.XLOOKUP(C221,'Loan Out'!A:A,'Loan Out'!F:F)))</f>
        <v/>
      </c>
      <c r="H221" t="str">
        <f>IF(C221="","",(_xlfn.XLOOKUP(C221,'Loan Out'!A:A,'Loan Out'!G:G)))</f>
        <v/>
      </c>
      <c r="I221" t="str">
        <f>IF(C221="","",(_xlfn.XLOOKUP(C221,'Loan Out'!A:A,'Loan Out'!H:H)))</f>
        <v/>
      </c>
      <c r="J221" t="str">
        <f>IF(C221="","",(_xlfn.XLOOKUP(C221,'Loan Out'!A:A,'Loan Out'!I:I)))</f>
        <v/>
      </c>
      <c r="K221" t="str">
        <f>IF(C221="","",(_xlfn.XLOOKUP(C221,'Loan Out'!A:A,'Loan Out'!J:J)))</f>
        <v/>
      </c>
      <c r="L221" t="str">
        <f>IF(C221&lt;&gt;"",(SUMIF(Payments!C:C,C221,Payments!G:G)),"")</f>
        <v/>
      </c>
      <c r="M221" t="str">
        <f t="shared" si="17"/>
        <v/>
      </c>
      <c r="N221" t="str">
        <f t="shared" si="18"/>
        <v/>
      </c>
      <c r="O221" t="str">
        <f t="shared" si="19"/>
        <v/>
      </c>
      <c r="P221" s="1" t="str">
        <f>IF(B221&lt;&gt;"",(IF((_xlfn.XLOOKUP(C221,'Loan Out'!A:A,'Loan Out'!L:L))="Bad debt","Bad debt",IF(M221&gt;0,"Pending","Settled"))),"")</f>
        <v/>
      </c>
    </row>
    <row r="222" spans="1:16">
      <c r="A222" t="str">
        <f t="shared" si="15"/>
        <v/>
      </c>
      <c r="C222" t="str">
        <f t="shared" si="16"/>
        <v/>
      </c>
      <c r="D222" t="str">
        <f>IF(C222="","",(_xlfn.XLOOKUP(C222,'Loan Out'!A:A,'Loan Out'!J:J)))</f>
        <v/>
      </c>
      <c r="E222" t="str">
        <f>IF(C222="","",(_xlfn.XLOOKUP(C222,'Loan Out'!A:A,'Loan Out'!D:D)))</f>
        <v/>
      </c>
      <c r="F222" t="str">
        <f>IF(C222="","",(_xlfn.XLOOKUP(C222,'Loan Out'!A:A,'Loan Out'!E:E)))</f>
        <v/>
      </c>
      <c r="G222" t="str">
        <f>IF(C222="","",(_xlfn.XLOOKUP(C222,'Loan Out'!A:A,'Loan Out'!F:F)))</f>
        <v/>
      </c>
      <c r="H222" t="str">
        <f>IF(C222="","",(_xlfn.XLOOKUP(C222,'Loan Out'!A:A,'Loan Out'!G:G)))</f>
        <v/>
      </c>
      <c r="I222" t="str">
        <f>IF(C222="","",(_xlfn.XLOOKUP(C222,'Loan Out'!A:A,'Loan Out'!H:H)))</f>
        <v/>
      </c>
      <c r="J222" t="str">
        <f>IF(C222="","",(_xlfn.XLOOKUP(C222,'Loan Out'!A:A,'Loan Out'!I:I)))</f>
        <v/>
      </c>
      <c r="K222" t="str">
        <f>IF(C222="","",(_xlfn.XLOOKUP(C222,'Loan Out'!A:A,'Loan Out'!J:J)))</f>
        <v/>
      </c>
      <c r="L222" t="str">
        <f>IF(C222&lt;&gt;"",(SUMIF(Payments!C:C,C222,Payments!G:G)),"")</f>
        <v/>
      </c>
      <c r="M222" t="str">
        <f t="shared" si="17"/>
        <v/>
      </c>
      <c r="N222" t="str">
        <f t="shared" si="18"/>
        <v/>
      </c>
      <c r="O222" t="str">
        <f t="shared" si="19"/>
        <v/>
      </c>
      <c r="P222" s="1" t="str">
        <f>IF(B222&lt;&gt;"",(IF((_xlfn.XLOOKUP(C222,'Loan Out'!A:A,'Loan Out'!L:L))="Bad debt","Bad debt",IF(M222&gt;0,"Pending","Settled"))),"")</f>
        <v/>
      </c>
    </row>
    <row r="223" spans="1:16">
      <c r="A223" t="str">
        <f t="shared" si="15"/>
        <v/>
      </c>
      <c r="C223" t="str">
        <f t="shared" si="16"/>
        <v/>
      </c>
      <c r="D223" t="str">
        <f>IF(C223="","",(_xlfn.XLOOKUP(C223,'Loan Out'!A:A,'Loan Out'!J:J)))</f>
        <v/>
      </c>
      <c r="E223" t="str">
        <f>IF(C223="","",(_xlfn.XLOOKUP(C223,'Loan Out'!A:A,'Loan Out'!D:D)))</f>
        <v/>
      </c>
      <c r="F223" t="str">
        <f>IF(C223="","",(_xlfn.XLOOKUP(C223,'Loan Out'!A:A,'Loan Out'!E:E)))</f>
        <v/>
      </c>
      <c r="G223" t="str">
        <f>IF(C223="","",(_xlfn.XLOOKUP(C223,'Loan Out'!A:A,'Loan Out'!F:F)))</f>
        <v/>
      </c>
      <c r="H223" t="str">
        <f>IF(C223="","",(_xlfn.XLOOKUP(C223,'Loan Out'!A:A,'Loan Out'!G:G)))</f>
        <v/>
      </c>
      <c r="I223" t="str">
        <f>IF(C223="","",(_xlfn.XLOOKUP(C223,'Loan Out'!A:A,'Loan Out'!H:H)))</f>
        <v/>
      </c>
      <c r="J223" t="str">
        <f>IF(C223="","",(_xlfn.XLOOKUP(C223,'Loan Out'!A:A,'Loan Out'!I:I)))</f>
        <v/>
      </c>
      <c r="K223" t="str">
        <f>IF(C223="","",(_xlfn.XLOOKUP(C223,'Loan Out'!A:A,'Loan Out'!J:J)))</f>
        <v/>
      </c>
      <c r="L223" t="str">
        <f>IF(C223&lt;&gt;"",(SUMIF(Payments!C:C,C223,Payments!G:G)),"")</f>
        <v/>
      </c>
      <c r="M223" t="str">
        <f t="shared" si="17"/>
        <v/>
      </c>
      <c r="N223" t="str">
        <f t="shared" si="18"/>
        <v/>
      </c>
      <c r="O223" t="str">
        <f t="shared" si="19"/>
        <v/>
      </c>
      <c r="P223" s="1" t="str">
        <f>IF(B223&lt;&gt;"",(IF((_xlfn.XLOOKUP(C223,'Loan Out'!A:A,'Loan Out'!L:L))="Bad debt","Bad debt",IF(M223&gt;0,"Pending","Settled"))),"")</f>
        <v/>
      </c>
    </row>
    <row r="224" spans="1:16">
      <c r="A224" t="str">
        <f t="shared" si="15"/>
        <v/>
      </c>
      <c r="C224" t="str">
        <f t="shared" si="16"/>
        <v/>
      </c>
      <c r="D224" t="str">
        <f>IF(C224="","",(_xlfn.XLOOKUP(C224,'Loan Out'!A:A,'Loan Out'!J:J)))</f>
        <v/>
      </c>
      <c r="E224" t="str">
        <f>IF(C224="","",(_xlfn.XLOOKUP(C224,'Loan Out'!A:A,'Loan Out'!D:D)))</f>
        <v/>
      </c>
      <c r="F224" t="str">
        <f>IF(C224="","",(_xlfn.XLOOKUP(C224,'Loan Out'!A:A,'Loan Out'!E:E)))</f>
        <v/>
      </c>
      <c r="G224" t="str">
        <f>IF(C224="","",(_xlfn.XLOOKUP(C224,'Loan Out'!A:A,'Loan Out'!F:F)))</f>
        <v/>
      </c>
      <c r="H224" t="str">
        <f>IF(C224="","",(_xlfn.XLOOKUP(C224,'Loan Out'!A:A,'Loan Out'!G:G)))</f>
        <v/>
      </c>
      <c r="I224" t="str">
        <f>IF(C224="","",(_xlfn.XLOOKUP(C224,'Loan Out'!A:A,'Loan Out'!H:H)))</f>
        <v/>
      </c>
      <c r="J224" t="str">
        <f>IF(C224="","",(_xlfn.XLOOKUP(C224,'Loan Out'!A:A,'Loan Out'!I:I)))</f>
        <v/>
      </c>
      <c r="K224" t="str">
        <f>IF(C224="","",(_xlfn.XLOOKUP(C224,'Loan Out'!A:A,'Loan Out'!J:J)))</f>
        <v/>
      </c>
      <c r="L224" t="str">
        <f>IF(C224&lt;&gt;"",(SUMIF(Payments!C:C,C224,Payments!G:G)),"")</f>
        <v/>
      </c>
      <c r="M224" t="str">
        <f t="shared" si="17"/>
        <v/>
      </c>
      <c r="N224" t="str">
        <f t="shared" si="18"/>
        <v/>
      </c>
      <c r="O224" t="str">
        <f t="shared" si="19"/>
        <v/>
      </c>
      <c r="P224" s="1" t="str">
        <f>IF(B224&lt;&gt;"",(IF((_xlfn.XLOOKUP(C224,'Loan Out'!A:A,'Loan Out'!L:L))="Bad debt","Bad debt",IF(M224&gt;0,"Pending","Settled"))),"")</f>
        <v/>
      </c>
    </row>
    <row r="225" spans="1:16">
      <c r="A225" t="str">
        <f t="shared" si="15"/>
        <v/>
      </c>
      <c r="C225" t="str">
        <f t="shared" si="16"/>
        <v/>
      </c>
      <c r="D225" t="str">
        <f>IF(C225="","",(_xlfn.XLOOKUP(C225,'Loan Out'!A:A,'Loan Out'!J:J)))</f>
        <v/>
      </c>
      <c r="E225" t="str">
        <f>IF(C225="","",(_xlfn.XLOOKUP(C225,'Loan Out'!A:A,'Loan Out'!D:D)))</f>
        <v/>
      </c>
      <c r="F225" t="str">
        <f>IF(C225="","",(_xlfn.XLOOKUP(C225,'Loan Out'!A:A,'Loan Out'!E:E)))</f>
        <v/>
      </c>
      <c r="G225" t="str">
        <f>IF(C225="","",(_xlfn.XLOOKUP(C225,'Loan Out'!A:A,'Loan Out'!F:F)))</f>
        <v/>
      </c>
      <c r="H225" t="str">
        <f>IF(C225="","",(_xlfn.XLOOKUP(C225,'Loan Out'!A:A,'Loan Out'!G:G)))</f>
        <v/>
      </c>
      <c r="I225" t="str">
        <f>IF(C225="","",(_xlfn.XLOOKUP(C225,'Loan Out'!A:A,'Loan Out'!H:H)))</f>
        <v/>
      </c>
      <c r="J225" t="str">
        <f>IF(C225="","",(_xlfn.XLOOKUP(C225,'Loan Out'!A:A,'Loan Out'!I:I)))</f>
        <v/>
      </c>
      <c r="K225" t="str">
        <f>IF(C225="","",(_xlfn.XLOOKUP(C225,'Loan Out'!A:A,'Loan Out'!J:J)))</f>
        <v/>
      </c>
      <c r="L225" t="str">
        <f>IF(C225&lt;&gt;"",(SUMIF(Payments!C:C,C225,Payments!G:G)),"")</f>
        <v/>
      </c>
      <c r="M225" t="str">
        <f t="shared" si="17"/>
        <v/>
      </c>
      <c r="N225" t="str">
        <f t="shared" si="18"/>
        <v/>
      </c>
      <c r="O225" t="str">
        <f t="shared" si="19"/>
        <v/>
      </c>
      <c r="P225" s="1" t="str">
        <f>IF(B225&lt;&gt;"",(IF((_xlfn.XLOOKUP(C225,'Loan Out'!A:A,'Loan Out'!L:L))="Bad debt","Bad debt",IF(M225&gt;0,"Pending","Settled"))),"")</f>
        <v/>
      </c>
    </row>
    <row r="226" spans="1:16">
      <c r="A226" t="str">
        <f t="shared" si="15"/>
        <v/>
      </c>
      <c r="C226" t="str">
        <f t="shared" si="16"/>
        <v/>
      </c>
      <c r="D226" t="str">
        <f>IF(C226="","",(_xlfn.XLOOKUP(C226,'Loan Out'!A:A,'Loan Out'!J:J)))</f>
        <v/>
      </c>
      <c r="E226" t="str">
        <f>IF(C226="","",(_xlfn.XLOOKUP(C226,'Loan Out'!A:A,'Loan Out'!D:D)))</f>
        <v/>
      </c>
      <c r="F226" t="str">
        <f>IF(C226="","",(_xlfn.XLOOKUP(C226,'Loan Out'!A:A,'Loan Out'!E:E)))</f>
        <v/>
      </c>
      <c r="G226" t="str">
        <f>IF(C226="","",(_xlfn.XLOOKUP(C226,'Loan Out'!A:A,'Loan Out'!F:F)))</f>
        <v/>
      </c>
      <c r="H226" t="str">
        <f>IF(C226="","",(_xlfn.XLOOKUP(C226,'Loan Out'!A:A,'Loan Out'!G:G)))</f>
        <v/>
      </c>
      <c r="I226" t="str">
        <f>IF(C226="","",(_xlfn.XLOOKUP(C226,'Loan Out'!A:A,'Loan Out'!H:H)))</f>
        <v/>
      </c>
      <c r="J226" t="str">
        <f>IF(C226="","",(_xlfn.XLOOKUP(C226,'Loan Out'!A:A,'Loan Out'!I:I)))</f>
        <v/>
      </c>
      <c r="K226" t="str">
        <f>IF(C226="","",(_xlfn.XLOOKUP(C226,'Loan Out'!A:A,'Loan Out'!J:J)))</f>
        <v/>
      </c>
      <c r="L226" t="str">
        <f>IF(C226&lt;&gt;"",(SUMIF(Payments!C:C,C226,Payments!G:G)),"")</f>
        <v/>
      </c>
      <c r="M226" t="str">
        <f t="shared" si="17"/>
        <v/>
      </c>
      <c r="N226" t="str">
        <f t="shared" si="18"/>
        <v/>
      </c>
      <c r="O226" t="str">
        <f t="shared" si="19"/>
        <v/>
      </c>
      <c r="P226" s="1" t="str">
        <f>IF(B226&lt;&gt;"",(IF((_xlfn.XLOOKUP(C226,'Loan Out'!A:A,'Loan Out'!L:L))="Bad debt","Bad debt",IF(M226&gt;0,"Pending","Settled"))),"")</f>
        <v/>
      </c>
    </row>
    <row r="227" spans="1:16">
      <c r="A227" t="str">
        <f t="shared" si="15"/>
        <v/>
      </c>
      <c r="C227" t="str">
        <f t="shared" si="16"/>
        <v/>
      </c>
      <c r="D227" t="str">
        <f>IF(C227="","",(_xlfn.XLOOKUP(C227,'Loan Out'!A:A,'Loan Out'!J:J)))</f>
        <v/>
      </c>
      <c r="E227" t="str">
        <f>IF(C227="","",(_xlfn.XLOOKUP(C227,'Loan Out'!A:A,'Loan Out'!D:D)))</f>
        <v/>
      </c>
      <c r="F227" t="str">
        <f>IF(C227="","",(_xlfn.XLOOKUP(C227,'Loan Out'!A:A,'Loan Out'!E:E)))</f>
        <v/>
      </c>
      <c r="G227" t="str">
        <f>IF(C227="","",(_xlfn.XLOOKUP(C227,'Loan Out'!A:A,'Loan Out'!F:F)))</f>
        <v/>
      </c>
      <c r="H227" t="str">
        <f>IF(C227="","",(_xlfn.XLOOKUP(C227,'Loan Out'!A:A,'Loan Out'!G:G)))</f>
        <v/>
      </c>
      <c r="I227" t="str">
        <f>IF(C227="","",(_xlfn.XLOOKUP(C227,'Loan Out'!A:A,'Loan Out'!H:H)))</f>
        <v/>
      </c>
      <c r="J227" t="str">
        <f>IF(C227="","",(_xlfn.XLOOKUP(C227,'Loan Out'!A:A,'Loan Out'!I:I)))</f>
        <v/>
      </c>
      <c r="K227" t="str">
        <f>IF(C227="","",(_xlfn.XLOOKUP(C227,'Loan Out'!A:A,'Loan Out'!J:J)))</f>
        <v/>
      </c>
      <c r="L227" t="str">
        <f>IF(C227&lt;&gt;"",(SUMIF(Payments!C:C,C227,Payments!G:G)),"")</f>
        <v/>
      </c>
      <c r="M227" t="str">
        <f t="shared" si="17"/>
        <v/>
      </c>
      <c r="N227" t="str">
        <f t="shared" si="18"/>
        <v/>
      </c>
      <c r="O227" t="str">
        <f t="shared" si="19"/>
        <v/>
      </c>
      <c r="P227" s="1" t="str">
        <f>IF(B227&lt;&gt;"",(IF((_xlfn.XLOOKUP(C227,'Loan Out'!A:A,'Loan Out'!L:L))="Bad debt","Bad debt",IF(M227&gt;0,"Pending","Settled"))),"")</f>
        <v/>
      </c>
    </row>
    <row r="228" spans="1:16">
      <c r="A228" t="str">
        <f t="shared" si="15"/>
        <v/>
      </c>
      <c r="C228" t="str">
        <f t="shared" si="16"/>
        <v/>
      </c>
      <c r="D228" t="str">
        <f>IF(C228="","",(_xlfn.XLOOKUP(C228,'Loan Out'!A:A,'Loan Out'!J:J)))</f>
        <v/>
      </c>
      <c r="E228" t="str">
        <f>IF(C228="","",(_xlfn.XLOOKUP(C228,'Loan Out'!A:A,'Loan Out'!D:D)))</f>
        <v/>
      </c>
      <c r="F228" t="str">
        <f>IF(C228="","",(_xlfn.XLOOKUP(C228,'Loan Out'!A:A,'Loan Out'!E:E)))</f>
        <v/>
      </c>
      <c r="G228" t="str">
        <f>IF(C228="","",(_xlfn.XLOOKUP(C228,'Loan Out'!A:A,'Loan Out'!F:F)))</f>
        <v/>
      </c>
      <c r="H228" t="str">
        <f>IF(C228="","",(_xlfn.XLOOKUP(C228,'Loan Out'!A:A,'Loan Out'!G:G)))</f>
        <v/>
      </c>
      <c r="I228" t="str">
        <f>IF(C228="","",(_xlfn.XLOOKUP(C228,'Loan Out'!A:A,'Loan Out'!H:H)))</f>
        <v/>
      </c>
      <c r="J228" t="str">
        <f>IF(C228="","",(_xlfn.XLOOKUP(C228,'Loan Out'!A:A,'Loan Out'!I:I)))</f>
        <v/>
      </c>
      <c r="K228" t="str">
        <f>IF(C228="","",(_xlfn.XLOOKUP(C228,'Loan Out'!A:A,'Loan Out'!J:J)))</f>
        <v/>
      </c>
      <c r="L228" t="str">
        <f>IF(C228&lt;&gt;"",(SUMIF(Payments!C:C,C228,Payments!G:G)),"")</f>
        <v/>
      </c>
      <c r="M228" t="str">
        <f t="shared" si="17"/>
        <v/>
      </c>
      <c r="N228" t="str">
        <f t="shared" si="18"/>
        <v/>
      </c>
      <c r="O228" t="str">
        <f t="shared" si="19"/>
        <v/>
      </c>
      <c r="P228" s="1" t="str">
        <f>IF(B228&lt;&gt;"",(IF((_xlfn.XLOOKUP(C228,'Loan Out'!A:A,'Loan Out'!L:L))="Bad debt","Bad debt",IF(M228&gt;0,"Pending","Settled"))),"")</f>
        <v/>
      </c>
    </row>
    <row r="229" spans="1:16">
      <c r="A229" t="str">
        <f t="shared" si="15"/>
        <v/>
      </c>
      <c r="C229" t="str">
        <f t="shared" si="16"/>
        <v/>
      </c>
      <c r="D229" t="str">
        <f>IF(C229="","",(_xlfn.XLOOKUP(C229,'Loan Out'!A:A,'Loan Out'!J:J)))</f>
        <v/>
      </c>
      <c r="E229" t="str">
        <f>IF(C229="","",(_xlfn.XLOOKUP(C229,'Loan Out'!A:A,'Loan Out'!D:D)))</f>
        <v/>
      </c>
      <c r="F229" t="str">
        <f>IF(C229="","",(_xlfn.XLOOKUP(C229,'Loan Out'!A:A,'Loan Out'!E:E)))</f>
        <v/>
      </c>
      <c r="G229" t="str">
        <f>IF(C229="","",(_xlfn.XLOOKUP(C229,'Loan Out'!A:A,'Loan Out'!F:F)))</f>
        <v/>
      </c>
      <c r="H229" t="str">
        <f>IF(C229="","",(_xlfn.XLOOKUP(C229,'Loan Out'!A:A,'Loan Out'!G:G)))</f>
        <v/>
      </c>
      <c r="I229" t="str">
        <f>IF(C229="","",(_xlfn.XLOOKUP(C229,'Loan Out'!A:A,'Loan Out'!H:H)))</f>
        <v/>
      </c>
      <c r="J229" t="str">
        <f>IF(C229="","",(_xlfn.XLOOKUP(C229,'Loan Out'!A:A,'Loan Out'!I:I)))</f>
        <v/>
      </c>
      <c r="K229" t="str">
        <f>IF(C229="","",(_xlfn.XLOOKUP(C229,'Loan Out'!A:A,'Loan Out'!J:J)))</f>
        <v/>
      </c>
      <c r="L229" t="str">
        <f>IF(C229&lt;&gt;"",(SUMIF(Payments!C:C,C229,Payments!G:G)),"")</f>
        <v/>
      </c>
      <c r="M229" t="str">
        <f t="shared" si="17"/>
        <v/>
      </c>
      <c r="N229" t="str">
        <f t="shared" si="18"/>
        <v/>
      </c>
      <c r="O229" t="str">
        <f t="shared" si="19"/>
        <v/>
      </c>
      <c r="P229" s="1" t="str">
        <f>IF(B229&lt;&gt;"",(IF((_xlfn.XLOOKUP(C229,'Loan Out'!A:A,'Loan Out'!L:L))="Bad debt","Bad debt",IF(M229&gt;0,"Pending","Settled"))),"")</f>
        <v/>
      </c>
    </row>
    <row r="230" spans="1:16">
      <c r="A230" t="str">
        <f t="shared" si="15"/>
        <v/>
      </c>
      <c r="C230" t="str">
        <f t="shared" si="16"/>
        <v/>
      </c>
      <c r="D230" t="str">
        <f>IF(C230="","",(_xlfn.XLOOKUP(C230,'Loan Out'!A:A,'Loan Out'!J:J)))</f>
        <v/>
      </c>
      <c r="E230" t="str">
        <f>IF(C230="","",(_xlfn.XLOOKUP(C230,'Loan Out'!A:A,'Loan Out'!D:D)))</f>
        <v/>
      </c>
      <c r="F230" t="str">
        <f>IF(C230="","",(_xlfn.XLOOKUP(C230,'Loan Out'!A:A,'Loan Out'!E:E)))</f>
        <v/>
      </c>
      <c r="G230" t="str">
        <f>IF(C230="","",(_xlfn.XLOOKUP(C230,'Loan Out'!A:A,'Loan Out'!F:F)))</f>
        <v/>
      </c>
      <c r="H230" t="str">
        <f>IF(C230="","",(_xlfn.XLOOKUP(C230,'Loan Out'!A:A,'Loan Out'!G:G)))</f>
        <v/>
      </c>
      <c r="I230" t="str">
        <f>IF(C230="","",(_xlfn.XLOOKUP(C230,'Loan Out'!A:A,'Loan Out'!H:H)))</f>
        <v/>
      </c>
      <c r="J230" t="str">
        <f>IF(C230="","",(_xlfn.XLOOKUP(C230,'Loan Out'!A:A,'Loan Out'!I:I)))</f>
        <v/>
      </c>
      <c r="K230" t="str">
        <f>IF(C230="","",(_xlfn.XLOOKUP(C230,'Loan Out'!A:A,'Loan Out'!J:J)))</f>
        <v/>
      </c>
      <c r="L230" t="str">
        <f>IF(C230&lt;&gt;"",(SUMIF(Payments!C:C,C230,Payments!G:G)),"")</f>
        <v/>
      </c>
      <c r="M230" t="str">
        <f t="shared" si="17"/>
        <v/>
      </c>
      <c r="N230" t="str">
        <f t="shared" si="18"/>
        <v/>
      </c>
      <c r="O230" t="str">
        <f t="shared" si="19"/>
        <v/>
      </c>
      <c r="P230" s="1" t="str">
        <f>IF(B230&lt;&gt;"",(IF((_xlfn.XLOOKUP(C230,'Loan Out'!A:A,'Loan Out'!L:L))="Bad debt","Bad debt",IF(M230&gt;0,"Pending","Settled"))),"")</f>
        <v/>
      </c>
    </row>
    <row r="231" spans="1:16">
      <c r="A231" t="str">
        <f t="shared" si="15"/>
        <v/>
      </c>
      <c r="C231" t="str">
        <f t="shared" si="16"/>
        <v/>
      </c>
      <c r="D231" t="str">
        <f>IF(C231="","",(_xlfn.XLOOKUP(C231,'Loan Out'!A:A,'Loan Out'!J:J)))</f>
        <v/>
      </c>
      <c r="E231" t="str">
        <f>IF(C231="","",(_xlfn.XLOOKUP(C231,'Loan Out'!A:A,'Loan Out'!D:D)))</f>
        <v/>
      </c>
      <c r="F231" t="str">
        <f>IF(C231="","",(_xlfn.XLOOKUP(C231,'Loan Out'!A:A,'Loan Out'!E:E)))</f>
        <v/>
      </c>
      <c r="G231" t="str">
        <f>IF(C231="","",(_xlfn.XLOOKUP(C231,'Loan Out'!A:A,'Loan Out'!F:F)))</f>
        <v/>
      </c>
      <c r="H231" t="str">
        <f>IF(C231="","",(_xlfn.XLOOKUP(C231,'Loan Out'!A:A,'Loan Out'!G:G)))</f>
        <v/>
      </c>
      <c r="I231" t="str">
        <f>IF(C231="","",(_xlfn.XLOOKUP(C231,'Loan Out'!A:A,'Loan Out'!H:H)))</f>
        <v/>
      </c>
      <c r="J231" t="str">
        <f>IF(C231="","",(_xlfn.XLOOKUP(C231,'Loan Out'!A:A,'Loan Out'!I:I)))</f>
        <v/>
      </c>
      <c r="K231" t="str">
        <f>IF(C231="","",(_xlfn.XLOOKUP(C231,'Loan Out'!A:A,'Loan Out'!J:J)))</f>
        <v/>
      </c>
      <c r="L231" t="str">
        <f>IF(C231&lt;&gt;"",(SUMIF(Payments!C:C,C231,Payments!G:G)),"")</f>
        <v/>
      </c>
      <c r="M231" t="str">
        <f t="shared" si="17"/>
        <v/>
      </c>
      <c r="N231" t="str">
        <f t="shared" si="18"/>
        <v/>
      </c>
      <c r="O231" t="str">
        <f t="shared" si="19"/>
        <v/>
      </c>
      <c r="P231" s="1" t="str">
        <f>IF(B231&lt;&gt;"",(IF((_xlfn.XLOOKUP(C231,'Loan Out'!A:A,'Loan Out'!L:L))="Bad debt","Bad debt",IF(M231&gt;0,"Pending","Settled"))),"")</f>
        <v/>
      </c>
    </row>
    <row r="232" spans="1:16">
      <c r="A232" t="str">
        <f t="shared" si="15"/>
        <v/>
      </c>
      <c r="C232" t="str">
        <f t="shared" si="16"/>
        <v/>
      </c>
      <c r="D232" t="str">
        <f>IF(C232="","",(_xlfn.XLOOKUP(C232,'Loan Out'!A:A,'Loan Out'!J:J)))</f>
        <v/>
      </c>
      <c r="E232" t="str">
        <f>IF(C232="","",(_xlfn.XLOOKUP(C232,'Loan Out'!A:A,'Loan Out'!D:D)))</f>
        <v/>
      </c>
      <c r="F232" t="str">
        <f>IF(C232="","",(_xlfn.XLOOKUP(C232,'Loan Out'!A:A,'Loan Out'!E:E)))</f>
        <v/>
      </c>
      <c r="G232" t="str">
        <f>IF(C232="","",(_xlfn.XLOOKUP(C232,'Loan Out'!A:A,'Loan Out'!F:F)))</f>
        <v/>
      </c>
      <c r="H232" t="str">
        <f>IF(C232="","",(_xlfn.XLOOKUP(C232,'Loan Out'!A:A,'Loan Out'!G:G)))</f>
        <v/>
      </c>
      <c r="I232" t="str">
        <f>IF(C232="","",(_xlfn.XLOOKUP(C232,'Loan Out'!A:A,'Loan Out'!H:H)))</f>
        <v/>
      </c>
      <c r="J232" t="str">
        <f>IF(C232="","",(_xlfn.XLOOKUP(C232,'Loan Out'!A:A,'Loan Out'!I:I)))</f>
        <v/>
      </c>
      <c r="K232" t="str">
        <f>IF(C232="","",(_xlfn.XLOOKUP(C232,'Loan Out'!A:A,'Loan Out'!J:J)))</f>
        <v/>
      </c>
      <c r="L232" t="str">
        <f>IF(C232&lt;&gt;"",(SUMIF(Payments!C:C,C232,Payments!G:G)),"")</f>
        <v/>
      </c>
      <c r="M232" t="str">
        <f t="shared" si="17"/>
        <v/>
      </c>
      <c r="N232" t="str">
        <f t="shared" si="18"/>
        <v/>
      </c>
      <c r="O232" t="str">
        <f t="shared" si="19"/>
        <v/>
      </c>
      <c r="P232" s="1" t="str">
        <f>IF(B232&lt;&gt;"",(IF((_xlfn.XLOOKUP(C232,'Loan Out'!A:A,'Loan Out'!L:L))="Bad debt","Bad debt",IF(M232&gt;0,"Pending","Settled"))),"")</f>
        <v/>
      </c>
    </row>
    <row r="233" spans="1:16">
      <c r="A233" t="str">
        <f t="shared" si="15"/>
        <v/>
      </c>
      <c r="C233" t="str">
        <f t="shared" si="16"/>
        <v/>
      </c>
      <c r="D233" t="str">
        <f>IF(C233="","",(_xlfn.XLOOKUP(C233,'Loan Out'!A:A,'Loan Out'!J:J)))</f>
        <v/>
      </c>
      <c r="E233" t="str">
        <f>IF(C233="","",(_xlfn.XLOOKUP(C233,'Loan Out'!A:A,'Loan Out'!D:D)))</f>
        <v/>
      </c>
      <c r="F233" t="str">
        <f>IF(C233="","",(_xlfn.XLOOKUP(C233,'Loan Out'!A:A,'Loan Out'!E:E)))</f>
        <v/>
      </c>
      <c r="G233" t="str">
        <f>IF(C233="","",(_xlfn.XLOOKUP(C233,'Loan Out'!A:A,'Loan Out'!F:F)))</f>
        <v/>
      </c>
      <c r="H233" t="str">
        <f>IF(C233="","",(_xlfn.XLOOKUP(C233,'Loan Out'!A:A,'Loan Out'!G:G)))</f>
        <v/>
      </c>
      <c r="I233" t="str">
        <f>IF(C233="","",(_xlfn.XLOOKUP(C233,'Loan Out'!A:A,'Loan Out'!H:H)))</f>
        <v/>
      </c>
      <c r="J233" t="str">
        <f>IF(C233="","",(_xlfn.XLOOKUP(C233,'Loan Out'!A:A,'Loan Out'!I:I)))</f>
        <v/>
      </c>
      <c r="K233" t="str">
        <f>IF(C233="","",(_xlfn.XLOOKUP(C233,'Loan Out'!A:A,'Loan Out'!J:J)))</f>
        <v/>
      </c>
      <c r="L233" t="str">
        <f>IF(C233&lt;&gt;"",(SUMIF(Payments!C:C,C233,Payments!G:G)),"")</f>
        <v/>
      </c>
      <c r="M233" t="str">
        <f t="shared" si="17"/>
        <v/>
      </c>
      <c r="N233" t="str">
        <f t="shared" si="18"/>
        <v/>
      </c>
      <c r="O233" t="str">
        <f t="shared" si="19"/>
        <v/>
      </c>
      <c r="P233" s="1" t="str">
        <f>IF(B233&lt;&gt;"",(IF((_xlfn.XLOOKUP(C233,'Loan Out'!A:A,'Loan Out'!L:L))="Bad debt","Bad debt",IF(M233&gt;0,"Pending","Settled"))),"")</f>
        <v/>
      </c>
    </row>
    <row r="234" spans="1:16">
      <c r="A234" t="str">
        <f t="shared" si="15"/>
        <v/>
      </c>
      <c r="C234" t="str">
        <f t="shared" si="16"/>
        <v/>
      </c>
      <c r="D234" t="str">
        <f>IF(C234="","",(_xlfn.XLOOKUP(C234,'Loan Out'!A:A,'Loan Out'!J:J)))</f>
        <v/>
      </c>
      <c r="E234" t="str">
        <f>IF(C234="","",(_xlfn.XLOOKUP(C234,'Loan Out'!A:A,'Loan Out'!D:D)))</f>
        <v/>
      </c>
      <c r="F234" t="str">
        <f>IF(C234="","",(_xlfn.XLOOKUP(C234,'Loan Out'!A:A,'Loan Out'!E:E)))</f>
        <v/>
      </c>
      <c r="G234" t="str">
        <f>IF(C234="","",(_xlfn.XLOOKUP(C234,'Loan Out'!A:A,'Loan Out'!F:F)))</f>
        <v/>
      </c>
      <c r="H234" t="str">
        <f>IF(C234="","",(_xlfn.XLOOKUP(C234,'Loan Out'!A:A,'Loan Out'!G:G)))</f>
        <v/>
      </c>
      <c r="I234" t="str">
        <f>IF(C234="","",(_xlfn.XLOOKUP(C234,'Loan Out'!A:A,'Loan Out'!H:H)))</f>
        <v/>
      </c>
      <c r="J234" t="str">
        <f>IF(C234="","",(_xlfn.XLOOKUP(C234,'Loan Out'!A:A,'Loan Out'!I:I)))</f>
        <v/>
      </c>
      <c r="K234" t="str">
        <f>IF(C234="","",(_xlfn.XLOOKUP(C234,'Loan Out'!A:A,'Loan Out'!J:J)))</f>
        <v/>
      </c>
      <c r="L234" t="str">
        <f>IF(C234&lt;&gt;"",(SUMIF(Payments!C:C,C234,Payments!G:G)),"")</f>
        <v/>
      </c>
      <c r="M234" t="str">
        <f t="shared" si="17"/>
        <v/>
      </c>
      <c r="N234" t="str">
        <f t="shared" si="18"/>
        <v/>
      </c>
      <c r="O234" t="str">
        <f t="shared" si="19"/>
        <v/>
      </c>
      <c r="P234" s="1" t="str">
        <f>IF(B234&lt;&gt;"",(IF((_xlfn.XLOOKUP(C234,'Loan Out'!A:A,'Loan Out'!L:L))="Bad debt","Bad debt",IF(M234&gt;0,"Pending","Settled"))),"")</f>
        <v/>
      </c>
    </row>
    <row r="235" spans="1:16">
      <c r="A235" t="str">
        <f t="shared" si="15"/>
        <v/>
      </c>
      <c r="C235" t="str">
        <f t="shared" si="16"/>
        <v/>
      </c>
      <c r="D235" t="str">
        <f>IF(C235="","",(_xlfn.XLOOKUP(C235,'Loan Out'!A:A,'Loan Out'!J:J)))</f>
        <v/>
      </c>
      <c r="E235" t="str">
        <f>IF(C235="","",(_xlfn.XLOOKUP(C235,'Loan Out'!A:A,'Loan Out'!D:D)))</f>
        <v/>
      </c>
      <c r="F235" t="str">
        <f>IF(C235="","",(_xlfn.XLOOKUP(C235,'Loan Out'!A:A,'Loan Out'!E:E)))</f>
        <v/>
      </c>
      <c r="G235" t="str">
        <f>IF(C235="","",(_xlfn.XLOOKUP(C235,'Loan Out'!A:A,'Loan Out'!F:F)))</f>
        <v/>
      </c>
      <c r="H235" t="str">
        <f>IF(C235="","",(_xlfn.XLOOKUP(C235,'Loan Out'!A:A,'Loan Out'!G:G)))</f>
        <v/>
      </c>
      <c r="I235" t="str">
        <f>IF(C235="","",(_xlfn.XLOOKUP(C235,'Loan Out'!A:A,'Loan Out'!H:H)))</f>
        <v/>
      </c>
      <c r="J235" t="str">
        <f>IF(C235="","",(_xlfn.XLOOKUP(C235,'Loan Out'!A:A,'Loan Out'!I:I)))</f>
        <v/>
      </c>
      <c r="K235" t="str">
        <f>IF(C235="","",(_xlfn.XLOOKUP(C235,'Loan Out'!A:A,'Loan Out'!J:J)))</f>
        <v/>
      </c>
      <c r="L235" t="str">
        <f>IF(C235&lt;&gt;"",(SUMIF(Payments!C:C,C235,Payments!G:G)),"")</f>
        <v/>
      </c>
      <c r="M235" t="str">
        <f t="shared" si="17"/>
        <v/>
      </c>
      <c r="N235" t="str">
        <f t="shared" si="18"/>
        <v/>
      </c>
      <c r="O235" t="str">
        <f t="shared" si="19"/>
        <v/>
      </c>
      <c r="P235" s="1" t="str">
        <f>IF(B235&lt;&gt;"",(IF((_xlfn.XLOOKUP(C235,'Loan Out'!A:A,'Loan Out'!L:L))="Bad debt","Bad debt",IF(M235&gt;0,"Pending","Settled"))),"")</f>
        <v/>
      </c>
    </row>
    <row r="236" spans="1:16">
      <c r="A236" t="str">
        <f t="shared" si="15"/>
        <v/>
      </c>
      <c r="C236" t="str">
        <f t="shared" si="16"/>
        <v/>
      </c>
      <c r="D236" t="str">
        <f>IF(C236="","",(_xlfn.XLOOKUP(C236,'Loan Out'!A:A,'Loan Out'!J:J)))</f>
        <v/>
      </c>
      <c r="E236" t="str">
        <f>IF(C236="","",(_xlfn.XLOOKUP(C236,'Loan Out'!A:A,'Loan Out'!D:D)))</f>
        <v/>
      </c>
      <c r="F236" t="str">
        <f>IF(C236="","",(_xlfn.XLOOKUP(C236,'Loan Out'!A:A,'Loan Out'!E:E)))</f>
        <v/>
      </c>
      <c r="G236" t="str">
        <f>IF(C236="","",(_xlfn.XLOOKUP(C236,'Loan Out'!A:A,'Loan Out'!F:F)))</f>
        <v/>
      </c>
      <c r="H236" t="str">
        <f>IF(C236="","",(_xlfn.XLOOKUP(C236,'Loan Out'!A:A,'Loan Out'!G:G)))</f>
        <v/>
      </c>
      <c r="I236" t="str">
        <f>IF(C236="","",(_xlfn.XLOOKUP(C236,'Loan Out'!A:A,'Loan Out'!H:H)))</f>
        <v/>
      </c>
      <c r="J236" t="str">
        <f>IF(C236="","",(_xlfn.XLOOKUP(C236,'Loan Out'!A:A,'Loan Out'!I:I)))</f>
        <v/>
      </c>
      <c r="K236" t="str">
        <f>IF(C236="","",(_xlfn.XLOOKUP(C236,'Loan Out'!A:A,'Loan Out'!J:J)))</f>
        <v/>
      </c>
      <c r="L236" t="str">
        <f>IF(C236&lt;&gt;"",(SUMIF(Payments!C:C,C236,Payments!G:G)),"")</f>
        <v/>
      </c>
      <c r="M236" t="str">
        <f t="shared" si="17"/>
        <v/>
      </c>
      <c r="N236" t="str">
        <f t="shared" si="18"/>
        <v/>
      </c>
      <c r="O236" t="str">
        <f t="shared" si="19"/>
        <v/>
      </c>
      <c r="P236" s="1" t="str">
        <f>IF(B236&lt;&gt;"",(IF((_xlfn.XLOOKUP(C236,'Loan Out'!A:A,'Loan Out'!L:L))="Bad debt","Bad debt",IF(M236&gt;0,"Pending","Settled"))),"")</f>
        <v/>
      </c>
    </row>
    <row r="237" spans="1:16">
      <c r="A237" t="str">
        <f t="shared" si="15"/>
        <v/>
      </c>
      <c r="C237" t="str">
        <f t="shared" si="16"/>
        <v/>
      </c>
      <c r="D237" t="str">
        <f>IF(C237="","",(_xlfn.XLOOKUP(C237,'Loan Out'!A:A,'Loan Out'!J:J)))</f>
        <v/>
      </c>
      <c r="E237" t="str">
        <f>IF(C237="","",(_xlfn.XLOOKUP(C237,'Loan Out'!A:A,'Loan Out'!D:D)))</f>
        <v/>
      </c>
      <c r="F237" t="str">
        <f>IF(C237="","",(_xlfn.XLOOKUP(C237,'Loan Out'!A:A,'Loan Out'!E:E)))</f>
        <v/>
      </c>
      <c r="G237" t="str">
        <f>IF(C237="","",(_xlfn.XLOOKUP(C237,'Loan Out'!A:A,'Loan Out'!F:F)))</f>
        <v/>
      </c>
      <c r="H237" t="str">
        <f>IF(C237="","",(_xlfn.XLOOKUP(C237,'Loan Out'!A:A,'Loan Out'!G:G)))</f>
        <v/>
      </c>
      <c r="I237" t="str">
        <f>IF(C237="","",(_xlfn.XLOOKUP(C237,'Loan Out'!A:A,'Loan Out'!H:H)))</f>
        <v/>
      </c>
      <c r="J237" t="str">
        <f>IF(C237="","",(_xlfn.XLOOKUP(C237,'Loan Out'!A:A,'Loan Out'!I:I)))</f>
        <v/>
      </c>
      <c r="K237" t="str">
        <f>IF(C237="","",(_xlfn.XLOOKUP(C237,'Loan Out'!A:A,'Loan Out'!J:J)))</f>
        <v/>
      </c>
      <c r="L237" t="str">
        <f>IF(C237&lt;&gt;"",(SUMIF(Payments!C:C,C237,Payments!G:G)),"")</f>
        <v/>
      </c>
      <c r="M237" t="str">
        <f t="shared" si="17"/>
        <v/>
      </c>
      <c r="N237" t="str">
        <f t="shared" si="18"/>
        <v/>
      </c>
      <c r="O237" t="str">
        <f t="shared" si="19"/>
        <v/>
      </c>
      <c r="P237" s="1" t="str">
        <f>IF(B237&lt;&gt;"",(IF((_xlfn.XLOOKUP(C237,'Loan Out'!A:A,'Loan Out'!L:L))="Bad debt","Bad debt",IF(M237&gt;0,"Pending","Settled"))),"")</f>
        <v/>
      </c>
    </row>
    <row r="238" spans="1:16">
      <c r="A238" t="str">
        <f t="shared" si="15"/>
        <v/>
      </c>
      <c r="C238" t="str">
        <f t="shared" si="16"/>
        <v/>
      </c>
      <c r="D238" t="str">
        <f>IF(C238="","",(_xlfn.XLOOKUP(C238,'Loan Out'!A:A,'Loan Out'!J:J)))</f>
        <v/>
      </c>
      <c r="E238" t="str">
        <f>IF(C238="","",(_xlfn.XLOOKUP(C238,'Loan Out'!A:A,'Loan Out'!D:D)))</f>
        <v/>
      </c>
      <c r="F238" t="str">
        <f>IF(C238="","",(_xlfn.XLOOKUP(C238,'Loan Out'!A:A,'Loan Out'!E:E)))</f>
        <v/>
      </c>
      <c r="G238" t="str">
        <f>IF(C238="","",(_xlfn.XLOOKUP(C238,'Loan Out'!A:A,'Loan Out'!F:F)))</f>
        <v/>
      </c>
      <c r="H238" t="str">
        <f>IF(C238="","",(_xlfn.XLOOKUP(C238,'Loan Out'!A:A,'Loan Out'!G:G)))</f>
        <v/>
      </c>
      <c r="I238" t="str">
        <f>IF(C238="","",(_xlfn.XLOOKUP(C238,'Loan Out'!A:A,'Loan Out'!H:H)))</f>
        <v/>
      </c>
      <c r="J238" t="str">
        <f>IF(C238="","",(_xlfn.XLOOKUP(C238,'Loan Out'!A:A,'Loan Out'!I:I)))</f>
        <v/>
      </c>
      <c r="K238" t="str">
        <f>IF(C238="","",(_xlfn.XLOOKUP(C238,'Loan Out'!A:A,'Loan Out'!J:J)))</f>
        <v/>
      </c>
      <c r="L238" t="str">
        <f>IF(C238&lt;&gt;"",(SUMIF(Payments!C:C,C238,Payments!G:G)),"")</f>
        <v/>
      </c>
      <c r="M238" t="str">
        <f t="shared" si="17"/>
        <v/>
      </c>
      <c r="N238" t="str">
        <f t="shared" si="18"/>
        <v/>
      </c>
      <c r="O238" t="str">
        <f t="shared" si="19"/>
        <v/>
      </c>
      <c r="P238" s="1" t="str">
        <f>IF(B238&lt;&gt;"",(IF((_xlfn.XLOOKUP(C238,'Loan Out'!A:A,'Loan Out'!L:L))="Bad debt","Bad debt",IF(M238&gt;0,"Pending","Settled"))),"")</f>
        <v/>
      </c>
    </row>
    <row r="239" spans="1:16">
      <c r="A239" t="str">
        <f t="shared" si="15"/>
        <v/>
      </c>
      <c r="C239" t="str">
        <f t="shared" si="16"/>
        <v/>
      </c>
      <c r="D239" t="str">
        <f>IF(C239="","",(_xlfn.XLOOKUP(C239,'Loan Out'!A:A,'Loan Out'!J:J)))</f>
        <v/>
      </c>
      <c r="E239" t="str">
        <f>IF(C239="","",(_xlfn.XLOOKUP(C239,'Loan Out'!A:A,'Loan Out'!D:D)))</f>
        <v/>
      </c>
      <c r="F239" t="str">
        <f>IF(C239="","",(_xlfn.XLOOKUP(C239,'Loan Out'!A:A,'Loan Out'!E:E)))</f>
        <v/>
      </c>
      <c r="G239" t="str">
        <f>IF(C239="","",(_xlfn.XLOOKUP(C239,'Loan Out'!A:A,'Loan Out'!F:F)))</f>
        <v/>
      </c>
      <c r="H239" t="str">
        <f>IF(C239="","",(_xlfn.XLOOKUP(C239,'Loan Out'!A:A,'Loan Out'!G:G)))</f>
        <v/>
      </c>
      <c r="I239" t="str">
        <f>IF(C239="","",(_xlfn.XLOOKUP(C239,'Loan Out'!A:A,'Loan Out'!H:H)))</f>
        <v/>
      </c>
      <c r="J239" t="str">
        <f>IF(C239="","",(_xlfn.XLOOKUP(C239,'Loan Out'!A:A,'Loan Out'!I:I)))</f>
        <v/>
      </c>
      <c r="K239" t="str">
        <f>IF(C239="","",(_xlfn.XLOOKUP(C239,'Loan Out'!A:A,'Loan Out'!J:J)))</f>
        <v/>
      </c>
      <c r="L239" t="str">
        <f>IF(C239&lt;&gt;"",(SUMIF(Payments!C:C,C239,Payments!G:G)),"")</f>
        <v/>
      </c>
      <c r="M239" t="str">
        <f t="shared" si="17"/>
        <v/>
      </c>
      <c r="N239" t="str">
        <f t="shared" si="18"/>
        <v/>
      </c>
      <c r="O239" t="str">
        <f t="shared" si="19"/>
        <v/>
      </c>
      <c r="P239" s="1" t="str">
        <f>IF(B239&lt;&gt;"",(IF((_xlfn.XLOOKUP(C239,'Loan Out'!A:A,'Loan Out'!L:L))="Bad debt","Bad debt",IF(M239&gt;0,"Pending","Settled"))),"")</f>
        <v/>
      </c>
    </row>
    <row r="240" spans="1:16">
      <c r="A240" t="str">
        <f t="shared" si="15"/>
        <v/>
      </c>
      <c r="C240" t="str">
        <f t="shared" si="16"/>
        <v/>
      </c>
      <c r="D240" t="str">
        <f>IF(C240="","",(_xlfn.XLOOKUP(C240,'Loan Out'!A:A,'Loan Out'!J:J)))</f>
        <v/>
      </c>
      <c r="E240" t="str">
        <f>IF(C240="","",(_xlfn.XLOOKUP(C240,'Loan Out'!A:A,'Loan Out'!D:D)))</f>
        <v/>
      </c>
      <c r="F240" t="str">
        <f>IF(C240="","",(_xlfn.XLOOKUP(C240,'Loan Out'!A:A,'Loan Out'!E:E)))</f>
        <v/>
      </c>
      <c r="G240" t="str">
        <f>IF(C240="","",(_xlfn.XLOOKUP(C240,'Loan Out'!A:A,'Loan Out'!F:F)))</f>
        <v/>
      </c>
      <c r="H240" t="str">
        <f>IF(C240="","",(_xlfn.XLOOKUP(C240,'Loan Out'!A:A,'Loan Out'!G:G)))</f>
        <v/>
      </c>
      <c r="I240" t="str">
        <f>IF(C240="","",(_xlfn.XLOOKUP(C240,'Loan Out'!A:A,'Loan Out'!H:H)))</f>
        <v/>
      </c>
      <c r="J240" t="str">
        <f>IF(C240="","",(_xlfn.XLOOKUP(C240,'Loan Out'!A:A,'Loan Out'!I:I)))</f>
        <v/>
      </c>
      <c r="K240" t="str">
        <f>IF(C240="","",(_xlfn.XLOOKUP(C240,'Loan Out'!A:A,'Loan Out'!J:J)))</f>
        <v/>
      </c>
      <c r="L240" t="str">
        <f>IF(C240&lt;&gt;"",(SUMIF(Payments!C:C,C240,Payments!G:G)),"")</f>
        <v/>
      </c>
      <c r="M240" t="str">
        <f t="shared" si="17"/>
        <v/>
      </c>
      <c r="N240" t="str">
        <f t="shared" si="18"/>
        <v/>
      </c>
      <c r="O240" t="str">
        <f t="shared" si="19"/>
        <v/>
      </c>
      <c r="P240" s="1" t="str">
        <f>IF(B240&lt;&gt;"",(IF((_xlfn.XLOOKUP(C240,'Loan Out'!A:A,'Loan Out'!L:L))="Bad debt","Bad debt",IF(M240&gt;0,"Pending","Settled"))),"")</f>
        <v/>
      </c>
    </row>
    <row r="241" spans="1:16">
      <c r="A241" t="str">
        <f t="shared" si="15"/>
        <v/>
      </c>
      <c r="C241" t="str">
        <f t="shared" si="16"/>
        <v/>
      </c>
      <c r="D241" t="str">
        <f>IF(C241="","",(_xlfn.XLOOKUP(C241,'Loan Out'!A:A,'Loan Out'!J:J)))</f>
        <v/>
      </c>
      <c r="E241" t="str">
        <f>IF(C241="","",(_xlfn.XLOOKUP(C241,'Loan Out'!A:A,'Loan Out'!D:D)))</f>
        <v/>
      </c>
      <c r="F241" t="str">
        <f>IF(C241="","",(_xlfn.XLOOKUP(C241,'Loan Out'!A:A,'Loan Out'!E:E)))</f>
        <v/>
      </c>
      <c r="G241" t="str">
        <f>IF(C241="","",(_xlfn.XLOOKUP(C241,'Loan Out'!A:A,'Loan Out'!F:F)))</f>
        <v/>
      </c>
      <c r="H241" t="str">
        <f>IF(C241="","",(_xlfn.XLOOKUP(C241,'Loan Out'!A:A,'Loan Out'!G:G)))</f>
        <v/>
      </c>
      <c r="I241" t="str">
        <f>IF(C241="","",(_xlfn.XLOOKUP(C241,'Loan Out'!A:A,'Loan Out'!H:H)))</f>
        <v/>
      </c>
      <c r="J241" t="str">
        <f>IF(C241="","",(_xlfn.XLOOKUP(C241,'Loan Out'!A:A,'Loan Out'!I:I)))</f>
        <v/>
      </c>
      <c r="K241" t="str">
        <f>IF(C241="","",(_xlfn.XLOOKUP(C241,'Loan Out'!A:A,'Loan Out'!J:J)))</f>
        <v/>
      </c>
      <c r="L241" t="str">
        <f>IF(C241&lt;&gt;"",(SUMIF(Payments!C:C,C241,Payments!G:G)),"")</f>
        <v/>
      </c>
      <c r="M241" t="str">
        <f t="shared" si="17"/>
        <v/>
      </c>
      <c r="N241" t="str">
        <f t="shared" si="18"/>
        <v/>
      </c>
      <c r="O241" t="str">
        <f t="shared" si="19"/>
        <v/>
      </c>
      <c r="P241" s="1" t="str">
        <f>IF(B241&lt;&gt;"",(IF((_xlfn.XLOOKUP(C241,'Loan Out'!A:A,'Loan Out'!L:L))="Bad debt","Bad debt",IF(M241&gt;0,"Pending","Settled"))),"")</f>
        <v/>
      </c>
    </row>
    <row r="242" spans="1:16">
      <c r="A242" t="str">
        <f t="shared" si="15"/>
        <v/>
      </c>
      <c r="C242" t="str">
        <f t="shared" si="16"/>
        <v/>
      </c>
      <c r="D242" t="str">
        <f>IF(C242="","",(_xlfn.XLOOKUP(C242,'Loan Out'!A:A,'Loan Out'!J:J)))</f>
        <v/>
      </c>
      <c r="E242" t="str">
        <f>IF(C242="","",(_xlfn.XLOOKUP(C242,'Loan Out'!A:A,'Loan Out'!D:D)))</f>
        <v/>
      </c>
      <c r="F242" t="str">
        <f>IF(C242="","",(_xlfn.XLOOKUP(C242,'Loan Out'!A:A,'Loan Out'!E:E)))</f>
        <v/>
      </c>
      <c r="G242" t="str">
        <f>IF(C242="","",(_xlfn.XLOOKUP(C242,'Loan Out'!A:A,'Loan Out'!F:F)))</f>
        <v/>
      </c>
      <c r="H242" t="str">
        <f>IF(C242="","",(_xlfn.XLOOKUP(C242,'Loan Out'!A:A,'Loan Out'!G:G)))</f>
        <v/>
      </c>
      <c r="I242" t="str">
        <f>IF(C242="","",(_xlfn.XLOOKUP(C242,'Loan Out'!A:A,'Loan Out'!H:H)))</f>
        <v/>
      </c>
      <c r="J242" t="str">
        <f>IF(C242="","",(_xlfn.XLOOKUP(C242,'Loan Out'!A:A,'Loan Out'!I:I)))</f>
        <v/>
      </c>
      <c r="K242" t="str">
        <f>IF(C242="","",(_xlfn.XLOOKUP(C242,'Loan Out'!A:A,'Loan Out'!J:J)))</f>
        <v/>
      </c>
      <c r="L242" t="str">
        <f>IF(C242&lt;&gt;"",(SUMIF(Payments!C:C,C242,Payments!G:G)),"")</f>
        <v/>
      </c>
      <c r="M242" t="str">
        <f t="shared" si="17"/>
        <v/>
      </c>
      <c r="N242" t="str">
        <f t="shared" si="18"/>
        <v/>
      </c>
      <c r="O242" t="str">
        <f t="shared" si="19"/>
        <v/>
      </c>
      <c r="P242" s="1" t="str">
        <f>IF(B242&lt;&gt;"",(IF((_xlfn.XLOOKUP(C242,'Loan Out'!A:A,'Loan Out'!L:L))="Bad debt","Bad debt",IF(M242&gt;0,"Pending","Settled"))),"")</f>
        <v/>
      </c>
    </row>
    <row r="243" spans="1:16">
      <c r="A243" t="str">
        <f t="shared" si="15"/>
        <v/>
      </c>
      <c r="C243" t="str">
        <f t="shared" si="16"/>
        <v/>
      </c>
      <c r="D243" t="str">
        <f>IF(C243="","",(_xlfn.XLOOKUP(C243,'Loan Out'!A:A,'Loan Out'!J:J)))</f>
        <v/>
      </c>
      <c r="E243" t="str">
        <f>IF(C243="","",(_xlfn.XLOOKUP(C243,'Loan Out'!A:A,'Loan Out'!D:D)))</f>
        <v/>
      </c>
      <c r="F243" t="str">
        <f>IF(C243="","",(_xlfn.XLOOKUP(C243,'Loan Out'!A:A,'Loan Out'!E:E)))</f>
        <v/>
      </c>
      <c r="G243" t="str">
        <f>IF(C243="","",(_xlfn.XLOOKUP(C243,'Loan Out'!A:A,'Loan Out'!F:F)))</f>
        <v/>
      </c>
      <c r="H243" t="str">
        <f>IF(C243="","",(_xlfn.XLOOKUP(C243,'Loan Out'!A:A,'Loan Out'!G:G)))</f>
        <v/>
      </c>
      <c r="I243" t="str">
        <f>IF(C243="","",(_xlfn.XLOOKUP(C243,'Loan Out'!A:A,'Loan Out'!H:H)))</f>
        <v/>
      </c>
      <c r="J243" t="str">
        <f>IF(C243="","",(_xlfn.XLOOKUP(C243,'Loan Out'!A:A,'Loan Out'!I:I)))</f>
        <v/>
      </c>
      <c r="K243" t="str">
        <f>IF(C243="","",(_xlfn.XLOOKUP(C243,'Loan Out'!A:A,'Loan Out'!J:J)))</f>
        <v/>
      </c>
      <c r="L243" t="str">
        <f>IF(C243&lt;&gt;"",(SUMIF(Payments!C:C,C243,Payments!G:G)),"")</f>
        <v/>
      </c>
      <c r="M243" t="str">
        <f t="shared" si="17"/>
        <v/>
      </c>
      <c r="N243" t="str">
        <f t="shared" si="18"/>
        <v/>
      </c>
      <c r="O243" t="str">
        <f t="shared" si="19"/>
        <v/>
      </c>
      <c r="P243" s="1" t="str">
        <f>IF(B243&lt;&gt;"",(IF((_xlfn.XLOOKUP(C243,'Loan Out'!A:A,'Loan Out'!L:L))="Bad debt","Bad debt",IF(M243&gt;0,"Pending","Settled"))),"")</f>
        <v/>
      </c>
    </row>
    <row r="244" spans="1:16">
      <c r="A244" t="str">
        <f t="shared" si="15"/>
        <v/>
      </c>
      <c r="C244" t="str">
        <f t="shared" si="16"/>
        <v/>
      </c>
      <c r="D244" t="str">
        <f>IF(C244="","",(_xlfn.XLOOKUP(C244,'Loan Out'!A:A,'Loan Out'!J:J)))</f>
        <v/>
      </c>
      <c r="E244" t="str">
        <f>IF(C244="","",(_xlfn.XLOOKUP(C244,'Loan Out'!A:A,'Loan Out'!D:D)))</f>
        <v/>
      </c>
      <c r="F244" t="str">
        <f>IF(C244="","",(_xlfn.XLOOKUP(C244,'Loan Out'!A:A,'Loan Out'!E:E)))</f>
        <v/>
      </c>
      <c r="G244" t="str">
        <f>IF(C244="","",(_xlfn.XLOOKUP(C244,'Loan Out'!A:A,'Loan Out'!F:F)))</f>
        <v/>
      </c>
      <c r="H244" t="str">
        <f>IF(C244="","",(_xlfn.XLOOKUP(C244,'Loan Out'!A:A,'Loan Out'!G:G)))</f>
        <v/>
      </c>
      <c r="I244" t="str">
        <f>IF(C244="","",(_xlfn.XLOOKUP(C244,'Loan Out'!A:A,'Loan Out'!H:H)))</f>
        <v/>
      </c>
      <c r="J244" t="str">
        <f>IF(C244="","",(_xlfn.XLOOKUP(C244,'Loan Out'!A:A,'Loan Out'!I:I)))</f>
        <v/>
      </c>
      <c r="K244" t="str">
        <f>IF(C244="","",(_xlfn.XLOOKUP(C244,'Loan Out'!A:A,'Loan Out'!J:J)))</f>
        <v/>
      </c>
      <c r="L244" t="str">
        <f>IF(C244&lt;&gt;"",(SUMIF(Payments!C:C,C244,Payments!G:G)),"")</f>
        <v/>
      </c>
      <c r="M244" t="str">
        <f t="shared" si="17"/>
        <v/>
      </c>
      <c r="N244" t="str">
        <f t="shared" si="18"/>
        <v/>
      </c>
      <c r="O244" t="str">
        <f t="shared" si="19"/>
        <v/>
      </c>
      <c r="P244" s="1" t="str">
        <f>IF(B244&lt;&gt;"",(IF((_xlfn.XLOOKUP(C244,'Loan Out'!A:A,'Loan Out'!L:L))="Bad debt","Bad debt",IF(M244&gt;0,"Pending","Settled"))),"")</f>
        <v/>
      </c>
    </row>
    <row r="245" spans="1:16">
      <c r="A245" t="str">
        <f t="shared" si="15"/>
        <v/>
      </c>
      <c r="C245" t="str">
        <f t="shared" si="16"/>
        <v/>
      </c>
      <c r="D245" t="str">
        <f>IF(C245="","",(_xlfn.XLOOKUP(C245,'Loan Out'!A:A,'Loan Out'!J:J)))</f>
        <v/>
      </c>
      <c r="E245" t="str">
        <f>IF(C245="","",(_xlfn.XLOOKUP(C245,'Loan Out'!A:A,'Loan Out'!D:D)))</f>
        <v/>
      </c>
      <c r="F245" t="str">
        <f>IF(C245="","",(_xlfn.XLOOKUP(C245,'Loan Out'!A:A,'Loan Out'!E:E)))</f>
        <v/>
      </c>
      <c r="G245" t="str">
        <f>IF(C245="","",(_xlfn.XLOOKUP(C245,'Loan Out'!A:A,'Loan Out'!F:F)))</f>
        <v/>
      </c>
      <c r="H245" t="str">
        <f>IF(C245="","",(_xlfn.XLOOKUP(C245,'Loan Out'!A:A,'Loan Out'!G:G)))</f>
        <v/>
      </c>
      <c r="I245" t="str">
        <f>IF(C245="","",(_xlfn.XLOOKUP(C245,'Loan Out'!A:A,'Loan Out'!H:H)))</f>
        <v/>
      </c>
      <c r="J245" t="str">
        <f>IF(C245="","",(_xlfn.XLOOKUP(C245,'Loan Out'!A:A,'Loan Out'!I:I)))</f>
        <v/>
      </c>
      <c r="K245" t="str">
        <f>IF(C245="","",(_xlfn.XLOOKUP(C245,'Loan Out'!A:A,'Loan Out'!J:J)))</f>
        <v/>
      </c>
      <c r="L245" t="str">
        <f>IF(C245&lt;&gt;"",(SUMIF(Payments!C:C,C245,Payments!G:G)),"")</f>
        <v/>
      </c>
      <c r="M245" t="str">
        <f t="shared" si="17"/>
        <v/>
      </c>
      <c r="N245" t="str">
        <f t="shared" si="18"/>
        <v/>
      </c>
      <c r="O245" t="str">
        <f t="shared" si="19"/>
        <v/>
      </c>
      <c r="P245" s="1" t="str">
        <f>IF(B245&lt;&gt;"",(IF((_xlfn.XLOOKUP(C245,'Loan Out'!A:A,'Loan Out'!L:L))="Bad debt","Bad debt",IF(M245&gt;0,"Pending","Settled"))),"")</f>
        <v/>
      </c>
    </row>
    <row r="246" spans="1:16">
      <c r="A246" t="str">
        <f t="shared" si="15"/>
        <v/>
      </c>
      <c r="C246" t="str">
        <f t="shared" si="16"/>
        <v/>
      </c>
      <c r="D246" t="str">
        <f>IF(C246="","",(_xlfn.XLOOKUP(C246,'Loan Out'!A:A,'Loan Out'!J:J)))</f>
        <v/>
      </c>
      <c r="E246" t="str">
        <f>IF(C246="","",(_xlfn.XLOOKUP(C246,'Loan Out'!A:A,'Loan Out'!D:D)))</f>
        <v/>
      </c>
      <c r="F246" t="str">
        <f>IF(C246="","",(_xlfn.XLOOKUP(C246,'Loan Out'!A:A,'Loan Out'!E:E)))</f>
        <v/>
      </c>
      <c r="G246" t="str">
        <f>IF(C246="","",(_xlfn.XLOOKUP(C246,'Loan Out'!A:A,'Loan Out'!F:F)))</f>
        <v/>
      </c>
      <c r="H246" t="str">
        <f>IF(C246="","",(_xlfn.XLOOKUP(C246,'Loan Out'!A:A,'Loan Out'!G:G)))</f>
        <v/>
      </c>
      <c r="I246" t="str">
        <f>IF(C246="","",(_xlfn.XLOOKUP(C246,'Loan Out'!A:A,'Loan Out'!H:H)))</f>
        <v/>
      </c>
      <c r="J246" t="str">
        <f>IF(C246="","",(_xlfn.XLOOKUP(C246,'Loan Out'!A:A,'Loan Out'!I:I)))</f>
        <v/>
      </c>
      <c r="K246" t="str">
        <f>IF(C246="","",(_xlfn.XLOOKUP(C246,'Loan Out'!A:A,'Loan Out'!J:J)))</f>
        <v/>
      </c>
      <c r="L246" t="str">
        <f>IF(C246&lt;&gt;"",(SUMIF(Payments!C:C,C246,Payments!G:G)),"")</f>
        <v/>
      </c>
      <c r="M246" t="str">
        <f t="shared" si="17"/>
        <v/>
      </c>
      <c r="N246" t="str">
        <f t="shared" si="18"/>
        <v/>
      </c>
      <c r="O246" t="str">
        <f t="shared" si="19"/>
        <v/>
      </c>
      <c r="P246" s="1" t="str">
        <f>IF(B246&lt;&gt;"",(IF((_xlfn.XLOOKUP(C246,'Loan Out'!A:A,'Loan Out'!L:L))="Bad debt","Bad debt",IF(M246&gt;0,"Pending","Settled"))),"")</f>
        <v/>
      </c>
    </row>
    <row r="247" spans="1:16">
      <c r="A247" t="str">
        <f t="shared" si="15"/>
        <v/>
      </c>
      <c r="C247" t="str">
        <f t="shared" si="16"/>
        <v/>
      </c>
      <c r="D247" t="str">
        <f>IF(C247="","",(_xlfn.XLOOKUP(C247,'Loan Out'!A:A,'Loan Out'!J:J)))</f>
        <v/>
      </c>
      <c r="E247" t="str">
        <f>IF(C247="","",(_xlfn.XLOOKUP(C247,'Loan Out'!A:A,'Loan Out'!D:D)))</f>
        <v/>
      </c>
      <c r="F247" t="str">
        <f>IF(C247="","",(_xlfn.XLOOKUP(C247,'Loan Out'!A:A,'Loan Out'!E:E)))</f>
        <v/>
      </c>
      <c r="G247" t="str">
        <f>IF(C247="","",(_xlfn.XLOOKUP(C247,'Loan Out'!A:A,'Loan Out'!F:F)))</f>
        <v/>
      </c>
      <c r="H247" t="str">
        <f>IF(C247="","",(_xlfn.XLOOKUP(C247,'Loan Out'!A:A,'Loan Out'!G:G)))</f>
        <v/>
      </c>
      <c r="I247" t="str">
        <f>IF(C247="","",(_xlfn.XLOOKUP(C247,'Loan Out'!A:A,'Loan Out'!H:H)))</f>
        <v/>
      </c>
      <c r="J247" t="str">
        <f>IF(C247="","",(_xlfn.XLOOKUP(C247,'Loan Out'!A:A,'Loan Out'!I:I)))</f>
        <v/>
      </c>
      <c r="K247" t="str">
        <f>IF(C247="","",(_xlfn.XLOOKUP(C247,'Loan Out'!A:A,'Loan Out'!J:J)))</f>
        <v/>
      </c>
      <c r="L247" t="str">
        <f>IF(C247&lt;&gt;"",(SUMIF(Payments!C:C,C247,Payments!G:G)),"")</f>
        <v/>
      </c>
      <c r="M247" t="str">
        <f t="shared" si="17"/>
        <v/>
      </c>
      <c r="N247" t="str">
        <f t="shared" si="18"/>
        <v/>
      </c>
      <c r="O247" t="str">
        <f t="shared" si="19"/>
        <v/>
      </c>
      <c r="P247" s="1" t="str">
        <f>IF(B247&lt;&gt;"",(IF((_xlfn.XLOOKUP(C247,'Loan Out'!A:A,'Loan Out'!L:L))="Bad debt","Bad debt",IF(M247&gt;0,"Pending","Settled"))),"")</f>
        <v/>
      </c>
    </row>
    <row r="248" spans="1:16">
      <c r="A248" t="str">
        <f t="shared" si="15"/>
        <v/>
      </c>
      <c r="C248" t="str">
        <f t="shared" si="16"/>
        <v/>
      </c>
      <c r="D248" t="str">
        <f>IF(C248="","",(_xlfn.XLOOKUP(C248,'Loan Out'!A:A,'Loan Out'!J:J)))</f>
        <v/>
      </c>
      <c r="E248" t="str">
        <f>IF(C248="","",(_xlfn.XLOOKUP(C248,'Loan Out'!A:A,'Loan Out'!D:D)))</f>
        <v/>
      </c>
      <c r="F248" t="str">
        <f>IF(C248="","",(_xlfn.XLOOKUP(C248,'Loan Out'!A:A,'Loan Out'!E:E)))</f>
        <v/>
      </c>
      <c r="G248" t="str">
        <f>IF(C248="","",(_xlfn.XLOOKUP(C248,'Loan Out'!A:A,'Loan Out'!F:F)))</f>
        <v/>
      </c>
      <c r="H248" t="str">
        <f>IF(C248="","",(_xlfn.XLOOKUP(C248,'Loan Out'!A:A,'Loan Out'!G:G)))</f>
        <v/>
      </c>
      <c r="I248" t="str">
        <f>IF(C248="","",(_xlfn.XLOOKUP(C248,'Loan Out'!A:A,'Loan Out'!H:H)))</f>
        <v/>
      </c>
      <c r="J248" t="str">
        <f>IF(C248="","",(_xlfn.XLOOKUP(C248,'Loan Out'!A:A,'Loan Out'!I:I)))</f>
        <v/>
      </c>
      <c r="K248" t="str">
        <f>IF(C248="","",(_xlfn.XLOOKUP(C248,'Loan Out'!A:A,'Loan Out'!J:J)))</f>
        <v/>
      </c>
      <c r="L248" t="str">
        <f>IF(C248&lt;&gt;"",(SUMIF(Payments!C:C,C248,Payments!G:G)),"")</f>
        <v/>
      </c>
      <c r="M248" t="str">
        <f t="shared" si="17"/>
        <v/>
      </c>
      <c r="N248" t="str">
        <f t="shared" si="18"/>
        <v/>
      </c>
      <c r="O248" t="str">
        <f t="shared" si="19"/>
        <v/>
      </c>
      <c r="P248" s="1" t="str">
        <f>IF(B248&lt;&gt;"",(IF((_xlfn.XLOOKUP(C248,'Loan Out'!A:A,'Loan Out'!L:L))="Bad debt","Bad debt",IF(M248&gt;0,"Pending","Settled"))),"")</f>
        <v/>
      </c>
    </row>
    <row r="249" spans="1:16">
      <c r="A249" t="str">
        <f t="shared" si="15"/>
        <v/>
      </c>
      <c r="C249" t="str">
        <f t="shared" si="16"/>
        <v/>
      </c>
      <c r="D249" t="str">
        <f>IF(C249="","",(_xlfn.XLOOKUP(C249,'Loan Out'!A:A,'Loan Out'!J:J)))</f>
        <v/>
      </c>
      <c r="E249" t="str">
        <f>IF(C249="","",(_xlfn.XLOOKUP(C249,'Loan Out'!A:A,'Loan Out'!D:D)))</f>
        <v/>
      </c>
      <c r="F249" t="str">
        <f>IF(C249="","",(_xlfn.XLOOKUP(C249,'Loan Out'!A:A,'Loan Out'!E:E)))</f>
        <v/>
      </c>
      <c r="G249" t="str">
        <f>IF(C249="","",(_xlfn.XLOOKUP(C249,'Loan Out'!A:A,'Loan Out'!F:F)))</f>
        <v/>
      </c>
      <c r="H249" t="str">
        <f>IF(C249="","",(_xlfn.XLOOKUP(C249,'Loan Out'!A:A,'Loan Out'!G:G)))</f>
        <v/>
      </c>
      <c r="I249" t="str">
        <f>IF(C249="","",(_xlfn.XLOOKUP(C249,'Loan Out'!A:A,'Loan Out'!H:H)))</f>
        <v/>
      </c>
      <c r="J249" t="str">
        <f>IF(C249="","",(_xlfn.XLOOKUP(C249,'Loan Out'!A:A,'Loan Out'!I:I)))</f>
        <v/>
      </c>
      <c r="K249" t="str">
        <f>IF(C249="","",(_xlfn.XLOOKUP(C249,'Loan Out'!A:A,'Loan Out'!J:J)))</f>
        <v/>
      </c>
      <c r="L249" t="str">
        <f>IF(C249&lt;&gt;"",(SUMIF(Payments!C:C,C249,Payments!G:G)),"")</f>
        <v/>
      </c>
      <c r="M249" t="str">
        <f t="shared" si="17"/>
        <v/>
      </c>
      <c r="N249" t="str">
        <f t="shared" si="18"/>
        <v/>
      </c>
      <c r="O249" t="str">
        <f t="shared" si="19"/>
        <v/>
      </c>
      <c r="P249" s="1" t="str">
        <f>IF(B249&lt;&gt;"",(IF((_xlfn.XLOOKUP(C249,'Loan Out'!A:A,'Loan Out'!L:L))="Bad debt","Bad debt",IF(M249&gt;0,"Pending","Settled"))),"")</f>
        <v/>
      </c>
    </row>
    <row r="250" spans="1:16">
      <c r="A250" t="str">
        <f t="shared" si="15"/>
        <v/>
      </c>
      <c r="C250" t="str">
        <f t="shared" si="16"/>
        <v/>
      </c>
      <c r="D250" t="str">
        <f>IF(C250="","",(_xlfn.XLOOKUP(C250,'Loan Out'!A:A,'Loan Out'!J:J)))</f>
        <v/>
      </c>
      <c r="E250" t="str">
        <f>IF(C250="","",(_xlfn.XLOOKUP(C250,'Loan Out'!A:A,'Loan Out'!D:D)))</f>
        <v/>
      </c>
      <c r="F250" t="str">
        <f>IF(C250="","",(_xlfn.XLOOKUP(C250,'Loan Out'!A:A,'Loan Out'!E:E)))</f>
        <v/>
      </c>
      <c r="G250" t="str">
        <f>IF(C250="","",(_xlfn.XLOOKUP(C250,'Loan Out'!A:A,'Loan Out'!F:F)))</f>
        <v/>
      </c>
      <c r="H250" t="str">
        <f>IF(C250="","",(_xlfn.XLOOKUP(C250,'Loan Out'!A:A,'Loan Out'!G:G)))</f>
        <v/>
      </c>
      <c r="I250" t="str">
        <f>IF(C250="","",(_xlfn.XLOOKUP(C250,'Loan Out'!A:A,'Loan Out'!H:H)))</f>
        <v/>
      </c>
      <c r="J250" t="str">
        <f>IF(C250="","",(_xlfn.XLOOKUP(C250,'Loan Out'!A:A,'Loan Out'!I:I)))</f>
        <v/>
      </c>
      <c r="K250" t="str">
        <f>IF(C250="","",(_xlfn.XLOOKUP(C250,'Loan Out'!A:A,'Loan Out'!J:J)))</f>
        <v/>
      </c>
      <c r="L250" t="str">
        <f>IF(C250&lt;&gt;"",(SUMIF(Payments!C:C,C250,Payments!G:G)),"")</f>
        <v/>
      </c>
      <c r="M250" t="str">
        <f t="shared" si="17"/>
        <v/>
      </c>
      <c r="N250" t="str">
        <f t="shared" si="18"/>
        <v/>
      </c>
      <c r="O250" t="str">
        <f t="shared" si="19"/>
        <v/>
      </c>
      <c r="P250" s="1" t="str">
        <f>IF(B250&lt;&gt;"",(IF((_xlfn.XLOOKUP(C250,'Loan Out'!A:A,'Loan Out'!L:L))="Bad debt","Bad debt",IF(M250&gt;0,"Pending","Settled"))),"")</f>
        <v/>
      </c>
    </row>
  </sheetData>
  <autoFilter xmlns:etc="http://www.wps.cn/officeDocument/2017/etCustomData" ref="A1:P250" etc:filterBottomFollowUsedRange="0">
    <extLst/>
  </autoFilter>
  <conditionalFormatting sqref="P2:P250">
    <cfRule type="containsText" dxfId="0" priority="4" operator="between" text="Pending">
      <formula>NOT(ISERROR(SEARCH("Pending",P2)))</formula>
    </cfRule>
    <cfRule type="containsText" dxfId="1" priority="3" operator="between" text="Settled">
      <formula>NOT(ISERROR(SEARCH("Settled",P2)))</formula>
    </cfRule>
    <cfRule type="containsText" dxfId="1" priority="2" operator="between" text="Bad debt">
      <formula>NOT(ISERROR(SEARCH("Bad debt",P2)))</formula>
    </cfRule>
    <cfRule type="containsText" dxfId="2" priority="1" operator="between" text="Bad debt">
      <formula>NOT(ISERROR(SEARCH("Bad debt",P2)))</formula>
    </cfRule>
  </conditionalFormatting>
  <dataValidations count="1">
    <dataValidation type="list" allowBlank="1" showInputMessage="1" showErrorMessage="1" sqref="B2:B250">
      <formula1>Helpercollist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"/>
  <sheetViews>
    <sheetView workbookViewId="0">
      <selection activeCell="A3" sqref="A3"/>
    </sheetView>
  </sheetViews>
  <sheetFormatPr defaultColWidth="9" defaultRowHeight="15" outlineLevelRow="3" outlineLevelCol="1"/>
  <cols>
    <col min="1" max="2" width="24.375"/>
    <col min="3" max="12" width="15.875"/>
    <col min="13" max="13" width="10.25"/>
  </cols>
  <sheetData>
    <row r="3" spans="1:2">
      <c r="A3" t="s">
        <v>66</v>
      </c>
      <c r="B3" t="s">
        <v>67</v>
      </c>
    </row>
    <row r="4" spans="1:2">
      <c r="A4">
        <v>46600</v>
      </c>
      <c r="B4">
        <v>37600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C9" sqref="C9"/>
    </sheetView>
  </sheetViews>
  <sheetFormatPr defaultColWidth="9" defaultRowHeight="15" outlineLevelRow="7" outlineLevelCol="1"/>
  <cols>
    <col min="1" max="1" width="12.375"/>
    <col min="2" max="2" width="18.25"/>
  </cols>
  <sheetData>
    <row r="3" spans="1:2">
      <c r="A3" t="s">
        <v>56</v>
      </c>
      <c r="B3" t="s">
        <v>68</v>
      </c>
    </row>
    <row r="4" spans="2:2">
      <c r="B4">
        <v>230</v>
      </c>
    </row>
    <row r="5" spans="1:2">
      <c r="A5" t="s">
        <v>69</v>
      </c>
      <c r="B5">
        <v>2</v>
      </c>
    </row>
    <row r="6" spans="1:2">
      <c r="A6" t="s">
        <v>70</v>
      </c>
      <c r="B6">
        <v>10</v>
      </c>
    </row>
    <row r="7" spans="1:2">
      <c r="A7" t="s">
        <v>71</v>
      </c>
      <c r="B7">
        <v>7</v>
      </c>
    </row>
    <row r="8" spans="1:2">
      <c r="A8" t="s">
        <v>72</v>
      </c>
      <c r="B8">
        <v>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Client list</vt:lpstr>
      <vt:lpstr>Loan Out</vt:lpstr>
      <vt:lpstr>Payments</vt:lpstr>
      <vt:lpstr>Records</vt:lpstr>
      <vt:lpstr>Pivot1-Sums</vt:lpstr>
      <vt:lpstr>Pivot2-Status 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</dc:creator>
  <cp:lastModifiedBy>Elvis Flastech</cp:lastModifiedBy>
  <dcterms:created xsi:type="dcterms:W3CDTF">2025-11-06T12:54:00Z</dcterms:created>
  <dcterms:modified xsi:type="dcterms:W3CDTF">2026-01-21T06:29:40Z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4A89586B60DD4DF881A6EF7D34CC05B3_13</vt:lpwstr>
  </property>
  <property fmtid="{D5CDD505-2E9C-101B-9397-08002B2CF9AE}" pid="3" name="KSOProductBuildVer">
    <vt:lpwstr>2057-12.2.0.23197</vt:lpwstr>
  </property>
</Properties>
</file>